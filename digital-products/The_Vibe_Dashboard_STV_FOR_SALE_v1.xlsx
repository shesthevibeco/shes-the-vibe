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4"/>
    <sheet state="visible" name="DASHBOARD" sheetId="2" r:id="rId5"/>
    <sheet state="visible" name="CALENDAR" sheetId="3" r:id="rId6"/>
    <sheet state="visible" name="WEEKLY" sheetId="4" r:id="rId7"/>
    <sheet state="visible" name="TASKS" sheetId="5" r:id="rId8"/>
    <sheet state="visible" name="MONEY" sheetId="6" r:id="rId9"/>
    <sheet state="visible" name="HOME" sheetId="7" r:id="rId10"/>
    <sheet state="visible" name="FAMILY" sheetId="8" r:id="rId11"/>
    <sheet state="visible" name="GOALS" sheetId="9" r:id="rId12"/>
    <sheet state="visible" name="SETTINGS" sheetId="10" r:id="rId13"/>
  </sheets>
  <definedNames/>
  <calcPr/>
  <extLst>
    <ext uri="GoogleSheetsCustomDataVersion2">
      <go:sheetsCustomData xmlns:go="http://customooxmlschemas.google.com/" r:id="rId14" roundtripDataChecksum="mhOLqRrxZiuEdD7LW7wYP2DqMKBjFoMkiP88wyG62cc="/>
    </ext>
  </extLst>
</workbook>
</file>

<file path=xl/sharedStrings.xml><?xml version="1.0" encoding="utf-8"?>
<sst xmlns="http://schemas.openxmlformats.org/spreadsheetml/2006/main" count="457" uniqueCount="302">
  <si>
    <t>The Weekly Vibe ♡</t>
  </si>
  <si>
    <t>The Vibe Dashboard ✦</t>
  </si>
  <si>
    <t>Plan what matters. Leave room to be a person.</t>
  </si>
  <si>
    <t>Your whole life, one workbook. Cute enough to open. Smart enough to run it.</t>
  </si>
  <si>
    <t>Your whole life, one workbook. Welcome to the STV Smart Excel System.</t>
  </si>
  <si>
    <t>Smart Calendar ✦</t>
  </si>
  <si>
    <t>WEEK OF</t>
  </si>
  <si>
    <t>SHE'S THE VIBE  •  SMART LIFE SYSTEM</t>
  </si>
  <si>
    <t>One calendar for appointments, activities, school, birthdays, and deadlines.</t>
  </si>
  <si>
    <t>TOP 3 PRIORITIES ✦</t>
  </si>
  <si>
    <t>DUE THIS WEEK</t>
  </si>
  <si>
    <t>START HERE ♡</t>
  </si>
  <si>
    <t>1</t>
  </si>
  <si>
    <t>Task</t>
  </si>
  <si>
    <t>OPEN TASKS</t>
  </si>
  <si>
    <t>Area</t>
  </si>
  <si>
    <t>Due</t>
  </si>
  <si>
    <t>Priority</t>
  </si>
  <si>
    <t>Status</t>
  </si>
  <si>
    <t>MONTH</t>
  </si>
  <si>
    <t>This workbook is designed to be used from the Dashboard out. Enter your information in the working tabs; the Dashboard pulls the important pieces back to you. White cells are for typing. Cream/soft-gold cells are calculated or guided. Burgundy headers are the STV anchors.</t>
  </si>
  <si>
    <t>2</t>
  </si>
  <si>
    <t>BILLS COMING</t>
  </si>
  <si>
    <t>MONTHLY NET</t>
  </si>
  <si>
    <t>MASTER EVENT LIST ✦</t>
  </si>
  <si>
    <t>MON</t>
  </si>
  <si>
    <t>TUE</t>
  </si>
  <si>
    <t>WED</t>
  </si>
  <si>
    <t>THU</t>
  </si>
  <si>
    <t>FRI</t>
  </si>
  <si>
    <t>SAT</t>
  </si>
  <si>
    <t>SUN</t>
  </si>
  <si>
    <t>THE 5-MINUTE SETUP</t>
  </si>
  <si>
    <t>SETTINGS</t>
  </si>
  <si>
    <t>Customize your dropdowns and categories.</t>
  </si>
  <si>
    <t>TASKS</t>
  </si>
  <si>
    <t>Dump everything you are carrying mentally.</t>
  </si>
  <si>
    <t>3</t>
  </si>
  <si>
    <t>MONEY + CALENDAR</t>
  </si>
  <si>
    <t>Person / Area</t>
  </si>
  <si>
    <t>Add bills, transactions, appointments, and events.</t>
  </si>
  <si>
    <t>4</t>
  </si>
  <si>
    <t>GOALS</t>
  </si>
  <si>
    <t>TODAY'S PRIORITIES ♡</t>
  </si>
  <si>
    <t>Add the things you are actively working toward.</t>
  </si>
  <si>
    <t>Event</t>
  </si>
  <si>
    <t>UPCOMING BILLS ✦</t>
  </si>
  <si>
    <t>Date</t>
  </si>
  <si>
    <t>Time</t>
  </si>
  <si>
    <t>5</t>
  </si>
  <si>
    <t>Type</t>
  </si>
  <si>
    <t>DASHBOARD</t>
  </si>
  <si>
    <t>Location / Notes</t>
  </si>
  <si>
    <t>Come back here for the snapshot that matters.</t>
  </si>
  <si>
    <t>Bill</t>
  </si>
  <si>
    <t>Amount</t>
  </si>
  <si>
    <t>Days Away</t>
  </si>
  <si>
    <t>STV RULE OF THUMB ✦</t>
  </si>
  <si>
    <t>Family</t>
  </si>
  <si>
    <t>Movie Night</t>
  </si>
  <si>
    <t>7:00 PM</t>
  </si>
  <si>
    <t>Activity</t>
  </si>
  <si>
    <t>Home</t>
  </si>
  <si>
    <t>Do not delete the shaded helper/formula columns unless you know exactly what they do. They are the quiet little engine behind the Dashboard. Add your life to the white cells — let the formulas do the rest.</t>
  </si>
  <si>
    <t>Alex</t>
  </si>
  <si>
    <t>WEEK AT A GLANCE</t>
  </si>
  <si>
    <t>Dentist</t>
  </si>
  <si>
    <t>3:30 PM</t>
  </si>
  <si>
    <t>Appointment</t>
  </si>
  <si>
    <t>Dental Office</t>
  </si>
  <si>
    <t>School</t>
  </si>
  <si>
    <t>Picture Day</t>
  </si>
  <si>
    <t>8:00 AM</t>
  </si>
  <si>
    <t>Campus</t>
  </si>
  <si>
    <t>Me</t>
  </si>
  <si>
    <t>Monthly Reset</t>
  </si>
  <si>
    <t>Personal</t>
  </si>
  <si>
    <t>Schedule</t>
  </si>
  <si>
    <t>jane</t>
  </si>
  <si>
    <t>Main Task</t>
  </si>
  <si>
    <t>Meal</t>
  </si>
  <si>
    <t>Notes</t>
  </si>
  <si>
    <t>WEEKLY RESET</t>
  </si>
  <si>
    <t>What feels heavy right now?</t>
  </si>
  <si>
    <t>What would make this week easier?</t>
  </si>
  <si>
    <t>What can wait?</t>
  </si>
  <si>
    <t>NEXT APPOINTMENTS + EVENTS ♡</t>
  </si>
  <si>
    <t>SAVINGS PROGRESS ✦</t>
  </si>
  <si>
    <t>CURRENT</t>
  </si>
  <si>
    <t>TARGET</t>
  </si>
  <si>
    <t>✦ building the soft life, one transfer at a time ✦</t>
  </si>
  <si>
    <t>ACTIVE GOALS ✦</t>
  </si>
  <si>
    <t>QUICK LINKS ♡</t>
  </si>
  <si>
    <t>Goal</t>
  </si>
  <si>
    <t>Target</t>
  </si>
  <si>
    <t>Progress</t>
  </si>
  <si>
    <t>Next Action</t>
  </si>
  <si>
    <t>CALENDAR  ›</t>
  </si>
  <si>
    <t>WEEKLY  ›</t>
  </si>
  <si>
    <t>TASKS  ›</t>
  </si>
  <si>
    <t>MONEY  ›</t>
  </si>
  <si>
    <t>HOME  ›</t>
  </si>
  <si>
    <t>FAMILY  ›</t>
  </si>
  <si>
    <t>GOALS  ›</t>
  </si>
  <si>
    <t>SETTINGS  ›</t>
  </si>
  <si>
    <t>Brain Dump + Tasks ♡</t>
  </si>
  <si>
    <t>Get it out of your head. STV will help decide what needs attention.</t>
  </si>
  <si>
    <t>Added</t>
  </si>
  <si>
    <t>Assigned To</t>
  </si>
  <si>
    <t>Focus Score</t>
  </si>
  <si>
    <t>Days Left</t>
  </si>
  <si>
    <t>WK</t>
  </si>
  <si>
    <t>Plan meals for the week</t>
  </si>
  <si>
    <t>High</t>
  </si>
  <si>
    <t>Not Started</t>
  </si>
  <si>
    <t>Money Vibe ✦</t>
  </si>
  <si>
    <t>Know where it went. Know what’s coming. Build what’s next.</t>
  </si>
  <si>
    <t>Pay electric bill</t>
  </si>
  <si>
    <t>Money</t>
  </si>
  <si>
    <t>BILLS + SUBSCRIPTIONS</t>
  </si>
  <si>
    <t>Urgent</t>
  </si>
  <si>
    <t>INCOME</t>
  </si>
  <si>
    <t>SPENDING</t>
  </si>
  <si>
    <t>SAVINGS ADDED</t>
  </si>
  <si>
    <t>Workout 30 minutes</t>
  </si>
  <si>
    <t>Health</t>
  </si>
  <si>
    <t>Medium</t>
  </si>
  <si>
    <t>In Progress</t>
  </si>
  <si>
    <t>Organize bedroom</t>
  </si>
  <si>
    <t>Low</t>
  </si>
  <si>
    <t>Due Date</t>
  </si>
  <si>
    <t>Autopay</t>
  </si>
  <si>
    <t>Account</t>
  </si>
  <si>
    <t>Grocery shopping</t>
  </si>
  <si>
    <t>Rank</t>
  </si>
  <si>
    <t>Electric</t>
  </si>
  <si>
    <t>Upcoming</t>
  </si>
  <si>
    <t>Yes</t>
  </si>
  <si>
    <t>Checking</t>
  </si>
  <si>
    <t>Streaming</t>
  </si>
  <si>
    <t>Subscription</t>
  </si>
  <si>
    <t>Paid</t>
  </si>
  <si>
    <t>Credit Card</t>
  </si>
  <si>
    <t>Car Insurance</t>
  </si>
  <si>
    <t>No</t>
  </si>
  <si>
    <t>TRANSACTIONS</t>
  </si>
  <si>
    <t>Music</t>
  </si>
  <si>
    <t>Description</t>
  </si>
  <si>
    <t>Category</t>
  </si>
  <si>
    <t>Paycheck</t>
  </si>
  <si>
    <t>Income</t>
  </si>
  <si>
    <t>Other</t>
  </si>
  <si>
    <t>Groceries</t>
  </si>
  <si>
    <t>Expense</t>
  </si>
  <si>
    <t>Gas</t>
  </si>
  <si>
    <t>Transportation</t>
  </si>
  <si>
    <t>Savings Transfer</t>
  </si>
  <si>
    <t>Savings</t>
  </si>
  <si>
    <t>Home Vibe ✦</t>
  </si>
  <si>
    <t>Keep the house running without letting the house run you.</t>
  </si>
  <si>
    <t>CLEANING + MAINTENANCE</t>
  </si>
  <si>
    <t>Room / Area</t>
  </si>
  <si>
    <t>Frequency</t>
  </si>
  <si>
    <t>Last Done</t>
  </si>
  <si>
    <t>Next Due</t>
  </si>
  <si>
    <t>Change HVAC filter</t>
  </si>
  <si>
    <t>Whole House</t>
  </si>
  <si>
    <t>Monthly</t>
  </si>
  <si>
    <t>Clean refrigerator</t>
  </si>
  <si>
    <t>Kitchen</t>
  </si>
  <si>
    <t>WEEKLY MEAL PLAN</t>
  </si>
  <si>
    <t>Monday</t>
  </si>
  <si>
    <t>Tuesday</t>
  </si>
  <si>
    <t>Wednesday</t>
  </si>
  <si>
    <t>Thursday</t>
  </si>
  <si>
    <t>Friday</t>
  </si>
  <si>
    <t>Saturday</t>
  </si>
  <si>
    <t>Sunday</t>
  </si>
  <si>
    <t>Breakfast</t>
  </si>
  <si>
    <t>Lunch</t>
  </si>
  <si>
    <t>Dinner</t>
  </si>
  <si>
    <t>Snacks</t>
  </si>
  <si>
    <t>GROCERY + HOME INVENTORY</t>
  </si>
  <si>
    <t>Item</t>
  </si>
  <si>
    <t>On Hand</t>
  </si>
  <si>
    <t>Need</t>
  </si>
  <si>
    <t>Unit</t>
  </si>
  <si>
    <t>Restock?</t>
  </si>
  <si>
    <t>Store / Location</t>
  </si>
  <si>
    <t>Eggs</t>
  </si>
  <si>
    <t>each</t>
  </si>
  <si>
    <t>Grocery Store</t>
  </si>
  <si>
    <t>Paper Towels</t>
  </si>
  <si>
    <t>rolls</t>
  </si>
  <si>
    <t>Warehouse</t>
  </si>
  <si>
    <t>Family Command Center ♡</t>
  </si>
  <si>
    <t>Keep the people you love organized without keeping it all in your head.</t>
  </si>
  <si>
    <t>IMPORTANT INFO</t>
  </si>
  <si>
    <t>Person</t>
  </si>
  <si>
    <t>School / Provider</t>
  </si>
  <si>
    <t>Birthday</t>
  </si>
  <si>
    <t>Phone</t>
  </si>
  <si>
    <t>Allergies / Notes</t>
  </si>
  <si>
    <t>Schedule / Details</t>
  </si>
  <si>
    <t>Extra Notes</t>
  </si>
  <si>
    <t>Goals + Milestones ✦</t>
  </si>
  <si>
    <t>Oak Grove School</t>
  </si>
  <si>
    <t>Big vision. Clear next move. Pretty progress.</t>
  </si>
  <si>
    <t>None</t>
  </si>
  <si>
    <t>Soccer</t>
  </si>
  <si>
    <t>Tue/Thu 5 PM</t>
  </si>
  <si>
    <t>Mia</t>
  </si>
  <si>
    <t>Preschool</t>
  </si>
  <si>
    <t>Why It Matters</t>
  </si>
  <si>
    <t>Target Date</t>
  </si>
  <si>
    <t>Food dye sensitivity</t>
  </si>
  <si>
    <t>Next Milestone</t>
  </si>
  <si>
    <t>Dance</t>
  </si>
  <si>
    <t>Saturday 10 AM</t>
  </si>
  <si>
    <t>Build emergency fund</t>
  </si>
  <si>
    <t>More breathing room and options</t>
  </si>
  <si>
    <t>Reach $4,000</t>
  </si>
  <si>
    <t>Transfer $200</t>
  </si>
  <si>
    <t>Create a calmer home routine</t>
  </si>
  <si>
    <t>Less mental clutter</t>
  </si>
  <si>
    <t>Lock weekly reset</t>
  </si>
  <si>
    <t>Test Sunday reset</t>
  </si>
  <si>
    <t>Read 12 books</t>
  </si>
  <si>
    <t>Make time for myself</t>
  </si>
  <si>
    <t>Finish book 7</t>
  </si>
  <si>
    <t>Choose next title</t>
  </si>
  <si>
    <t>SCHOOL + ACTIVITY DATES</t>
  </si>
  <si>
    <t>Location</t>
  </si>
  <si>
    <t>What to Bring</t>
  </si>
  <si>
    <t>Picture form</t>
  </si>
  <si>
    <t>Family Day</t>
  </si>
  <si>
    <t>10:00 AM</t>
  </si>
  <si>
    <t>Fall Festival</t>
  </si>
  <si>
    <t>5:30 PM</t>
  </si>
  <si>
    <t>Community Center</t>
  </si>
  <si>
    <t>SAVINGS GOALS ✦</t>
  </si>
  <si>
    <t>Current</t>
  </si>
  <si>
    <t>Emergency Fund</t>
  </si>
  <si>
    <t>Vacation</t>
  </si>
  <si>
    <t>DEBT SNAPSHOT</t>
  </si>
  <si>
    <t>Debt</t>
  </si>
  <si>
    <t>Starting Balance</t>
  </si>
  <si>
    <t>Current Balance</t>
  </si>
  <si>
    <t>Min Payment</t>
  </si>
  <si>
    <t>APR</t>
  </si>
  <si>
    <t>STV Settings ✦</t>
  </si>
  <si>
    <t>Make it yours once. Let the workbook do the rest.</t>
  </si>
  <si>
    <t>PRIORITY</t>
  </si>
  <si>
    <t>TASK STATUS</t>
  </si>
  <si>
    <t>LIFE AREA</t>
  </si>
  <si>
    <t>EVENT TYPE</t>
  </si>
  <si>
    <t>MONEY CATEGORY</t>
  </si>
  <si>
    <t>BILL STATUS</t>
  </si>
  <si>
    <t>TRANSACTION TYPE</t>
  </si>
  <si>
    <t>GOAL STATUS</t>
  </si>
  <si>
    <t>Housing</t>
  </si>
  <si>
    <t>Utilities</t>
  </si>
  <si>
    <t>Waiting</t>
  </si>
  <si>
    <t>Late</t>
  </si>
  <si>
    <t>Paused</t>
  </si>
  <si>
    <t>Done</t>
  </si>
  <si>
    <t>Dining</t>
  </si>
  <si>
    <t>Skipped</t>
  </si>
  <si>
    <t>Complete</t>
  </si>
  <si>
    <t>Someday</t>
  </si>
  <si>
    <t>Work</t>
  </si>
  <si>
    <t>Deadline</t>
  </si>
  <si>
    <t>Kids</t>
  </si>
  <si>
    <t>Subscriptions</t>
  </si>
  <si>
    <t>STV COLOR KEY ✦</t>
  </si>
  <si>
    <t>BURGUNDY</t>
  </si>
  <si>
    <t>#6B1028</t>
  </si>
  <si>
    <t>Primary headers</t>
  </si>
  <si>
    <t>CREAM</t>
  </si>
  <si>
    <t>#FFF8EE</t>
  </si>
  <si>
    <t>Main background</t>
  </si>
  <si>
    <t>WINE</t>
  </si>
  <si>
    <t>#8D2442</t>
  </si>
  <si>
    <t>Secondary accent</t>
  </si>
  <si>
    <t>GOLD</t>
  </si>
  <si>
    <t>#D5AE5E</t>
  </si>
  <si>
    <t>Luxury accent</t>
  </si>
  <si>
    <t>BLUSH</t>
  </si>
  <si>
    <t>#F2D9DE</t>
  </si>
  <si>
    <t>Soft sections</t>
  </si>
  <si>
    <t>WHITE</t>
  </si>
  <si>
    <t>#FFFFFF</t>
  </si>
  <si>
    <t>Data entry</t>
  </si>
  <si>
    <t>SAGE</t>
  </si>
  <si>
    <t>#C9D7C4</t>
  </si>
  <si>
    <t>Complete / positive</t>
  </si>
  <si>
    <t>PEACH</t>
  </si>
  <si>
    <t>#F3D0B9</t>
  </si>
  <si>
    <t>In progress</t>
  </si>
  <si>
    <t>STV</t>
  </si>
  <si>
    <t>She's the Vibe</t>
  </si>
  <si>
    <t>Cute. Luxe. Useful.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</si>
</sst>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m\ d\,\ yyyy"/>
    <numFmt numFmtId="165" formatCode="dddd\,\ mmmm\ d\,\ yyyy"/>
    <numFmt numFmtId="166" formatCode="mmmm\ yyyy"/>
    <numFmt numFmtId="167" formatCode="d"/>
    <numFmt numFmtId="168" formatCode="ddd\ m/d"/>
    <numFmt numFmtId="169" formatCode="\$#,##0.00"/>
    <numFmt numFmtId="170" formatCode="m/d"/>
    <numFmt numFmtId="171" formatCode="mm/dd/yyyy"/>
    <numFmt numFmtId="172" formatCode="\$#,##0"/>
    <numFmt numFmtId="173" formatCode="mmmm\ d"/>
  </numFmts>
  <fonts count="13">
    <font>
      <sz val="11.0"/>
      <color rgb="FF000000"/>
      <name val="Carlito"/>
      <scheme val="minor"/>
    </font>
    <font>
      <b/>
      <sz val="22.0"/>
      <color rgb="FFFFF8EE"/>
      <name val="Georgia"/>
    </font>
    <font/>
    <font>
      <sz val="9.0"/>
      <color rgb="FF2E1D22"/>
      <name val="Aptos"/>
    </font>
    <font>
      <i/>
      <sz val="10.0"/>
      <color rgb="FF8D2442"/>
      <name val="Aptos"/>
    </font>
    <font>
      <b/>
      <sz val="9.0"/>
      <color rgb="FF2E1D22"/>
      <name val="Aptos"/>
    </font>
    <font>
      <b/>
      <sz val="10.0"/>
      <color rgb="FFFFF8EE"/>
      <name val="Aptos"/>
    </font>
    <font>
      <b/>
      <sz val="9.0"/>
      <color rgb="FFFFF8EE"/>
      <name val="Aptos"/>
    </font>
    <font>
      <b/>
      <sz val="10.0"/>
      <color rgb="FF4A0B1C"/>
      <name val="Aptos"/>
    </font>
    <font>
      <i/>
      <sz val="9.0"/>
      <color rgb="FF2E1D22"/>
      <name val="Aptos"/>
    </font>
    <font>
      <sz val="9.0"/>
      <color rgb="FF2E1D22"/>
      <name val="Arial"/>
    </font>
    <font>
      <b/>
      <sz val="9.0"/>
      <color rgb="FF4A0B1C"/>
      <name val="Aptos"/>
    </font>
    <font>
      <sz val="9.0"/>
      <color rgb="FF4A0B1C"/>
      <name val="Aptos"/>
    </font>
  </fonts>
  <fills count="14">
    <fill>
      <patternFill patternType="none"/>
    </fill>
    <fill>
      <patternFill patternType="lightGray"/>
    </fill>
    <fill>
      <patternFill patternType="solid">
        <fgColor rgb="FF4A0B1C"/>
        <bgColor rgb="FF4A0B1C"/>
      </patternFill>
    </fill>
    <fill>
      <patternFill patternType="solid">
        <fgColor rgb="FFFFF8EE"/>
        <bgColor rgb="FFFFF8EE"/>
      </patternFill>
    </fill>
    <fill>
      <patternFill patternType="solid">
        <fgColor rgb="FFF4E4B6"/>
        <bgColor rgb="FFF4E4B6"/>
      </patternFill>
    </fill>
    <fill>
      <patternFill patternType="solid">
        <fgColor rgb="FF6B1028"/>
        <bgColor rgb="FF6B1028"/>
      </patternFill>
    </fill>
    <fill>
      <patternFill patternType="solid">
        <fgColor rgb="FFFFFFFF"/>
        <bgColor rgb="FFFFFFFF"/>
      </patternFill>
    </fill>
    <fill>
      <patternFill patternType="solid">
        <fgColor rgb="FFF7F1E9"/>
        <bgColor rgb="FFF7F1E9"/>
      </patternFill>
    </fill>
    <fill>
      <patternFill patternType="solid">
        <fgColor rgb="FFD5AE5E"/>
        <bgColor rgb="FFD5AE5E"/>
      </patternFill>
    </fill>
    <fill>
      <patternFill patternType="solid">
        <fgColor rgb="FFF2D9DE"/>
        <bgColor rgb="FFF2D9DE"/>
      </patternFill>
    </fill>
    <fill>
      <patternFill patternType="solid">
        <fgColor rgb="FFF8E9EA"/>
        <bgColor rgb="FFF8E9EA"/>
      </patternFill>
    </fill>
    <fill>
      <patternFill patternType="solid">
        <fgColor rgb="FF8D2442"/>
        <bgColor rgb="FF8D2442"/>
      </patternFill>
    </fill>
    <fill>
      <patternFill patternType="solid">
        <fgColor rgb="FFC9D7C4"/>
        <bgColor rgb="FFC9D7C4"/>
      </patternFill>
    </fill>
    <fill>
      <patternFill patternType="solid">
        <fgColor rgb="FFF3D0B9"/>
        <bgColor rgb="FFF3D0B9"/>
      </patternFill>
    </fill>
  </fills>
  <borders count="13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</border>
    <border>
      <right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vertical="center"/>
    </xf>
    <xf borderId="8" fillId="0" fontId="2" numFmtId="0" xfId="0" applyBorder="1" applyFont="1"/>
    <xf borderId="9" fillId="0" fontId="2" numFmtId="0" xfId="0" applyBorder="1" applyFont="1"/>
    <xf borderId="10" fillId="4" fontId="5" numFmtId="0" xfId="0" applyBorder="1" applyFill="1" applyFont="1"/>
    <xf borderId="7" fillId="3" fontId="5" numFmtId="0" xfId="0" applyBorder="1" applyFill="1" applyFont="1"/>
    <xf borderId="10" fillId="4" fontId="5" numFmtId="164" xfId="0" applyBorder="1" applyFill="1" applyFont="1" applyNumberFormat="1"/>
    <xf borderId="7" fillId="5" fontId="6" numFmtId="0" xfId="0" applyAlignment="1" applyBorder="1" applyFill="1" applyFont="1">
      <alignment vertical="center"/>
    </xf>
    <xf borderId="7" fillId="4" fontId="5" numFmtId="165" xfId="0" applyAlignment="1" applyBorder="1" applyFill="1" applyFont="1" applyNumberFormat="1">
      <alignment horizontal="center"/>
    </xf>
    <xf borderId="10" fillId="5" fontId="5" numFmtId="0" xfId="0" applyAlignment="1" applyBorder="1" applyFill="1" applyFont="1">
      <alignment horizontal="center"/>
    </xf>
    <xf borderId="7" fillId="6" fontId="3" numFmtId="0" xfId="0" applyAlignment="1" applyBorder="1" applyFill="1" applyFont="1">
      <alignment vertical="center"/>
    </xf>
    <xf borderId="10" fillId="5" fontId="7" numFmtId="0" xfId="0" applyAlignment="1" applyBorder="1" applyFill="1" applyFont="1">
      <alignment horizontal="center" shrinkToFit="0" vertical="center" wrapText="1"/>
    </xf>
    <xf borderId="7" fillId="5" fontId="7" numFmtId="0" xfId="0" applyAlignment="1" applyBorder="1" applyFill="1" applyFont="1">
      <alignment horizontal="center" vertical="center"/>
    </xf>
    <xf borderId="10" fillId="4" fontId="5" numFmtId="166" xfId="0" applyBorder="1" applyFill="1" applyFont="1" applyNumberFormat="1"/>
    <xf borderId="1" fillId="3" fontId="3" numFmtId="0" xfId="0" applyAlignment="1" applyBorder="1" applyFill="1" applyFont="1">
      <alignment shrinkToFit="0" vertical="center" wrapText="1"/>
    </xf>
    <xf borderId="11" fillId="0" fontId="2" numFmtId="0" xfId="0" applyBorder="1" applyFont="1"/>
    <xf borderId="12" fillId="0" fontId="2" numFmtId="0" xfId="0" applyBorder="1" applyFont="1"/>
    <xf borderId="1" fillId="3" fontId="5" numFmtId="1" xfId="0" applyAlignment="1" applyBorder="1" applyFill="1" applyFont="1" applyNumberFormat="1">
      <alignment horizontal="center" vertical="center"/>
    </xf>
    <xf borderId="10" fillId="7" fontId="3" numFmtId="0" xfId="0" applyAlignment="1" applyBorder="1" applyFill="1" applyFont="1">
      <alignment vertical="center"/>
    </xf>
    <xf borderId="10" fillId="8" fontId="5" numFmtId="0" xfId="0" applyAlignment="1" applyBorder="1" applyFill="1" applyFont="1">
      <alignment horizontal="center"/>
    </xf>
    <xf borderId="7" fillId="6" fontId="3" numFmtId="0" xfId="0" applyBorder="1" applyFill="1" applyFont="1"/>
    <xf borderId="10" fillId="9" fontId="5" numFmtId="167" xfId="0" applyAlignment="1" applyBorder="1" applyFill="1" applyFont="1" applyNumberFormat="1">
      <alignment horizontal="right"/>
    </xf>
    <xf borderId="10" fillId="7" fontId="3" numFmtId="168" xfId="0" applyAlignment="1" applyBorder="1" applyFill="1" applyFont="1" applyNumberFormat="1">
      <alignment vertical="center"/>
    </xf>
    <xf borderId="1" fillId="3" fontId="5" numFmtId="169" xfId="0" applyAlignment="1" applyBorder="1" applyFill="1" applyFont="1" applyNumberFormat="1">
      <alignment horizontal="center" vertical="center"/>
    </xf>
    <xf borderId="10" fillId="5" fontId="7" numFmtId="0" xfId="0" applyAlignment="1" applyBorder="1" applyFill="1" applyFont="1">
      <alignment horizontal="center" readingOrder="0" shrinkToFit="0" vertical="center" wrapText="1"/>
    </xf>
    <xf borderId="7" fillId="5" fontId="6" numFmtId="0" xfId="0" applyAlignment="1" applyBorder="1" applyFill="1" applyFont="1">
      <alignment horizontal="left" vertical="center"/>
    </xf>
    <xf borderId="10" fillId="3" fontId="3" numFmtId="0" xfId="0" applyAlignment="1" applyBorder="1" applyFill="1" applyFont="1">
      <alignment shrinkToFit="0" vertical="top" wrapText="1"/>
    </xf>
    <xf borderId="7" fillId="9" fontId="8" numFmtId="0" xfId="0" applyAlignment="1" applyBorder="1" applyFill="1" applyFont="1">
      <alignment vertical="center"/>
    </xf>
    <xf borderId="10" fillId="6" fontId="3" numFmtId="0" xfId="0" applyAlignment="1" applyBorder="1" applyFill="1" applyFont="1">
      <alignment shrinkToFit="0" vertical="center" wrapText="0"/>
    </xf>
    <xf borderId="10" fillId="7" fontId="3" numFmtId="170" xfId="0" applyAlignment="1" applyBorder="1" applyFill="1" applyFont="1" applyNumberFormat="1">
      <alignment vertical="center"/>
    </xf>
    <xf borderId="10" fillId="6" fontId="3" numFmtId="171" xfId="0" applyAlignment="1" applyBorder="1" applyFill="1" applyFont="1" applyNumberFormat="1">
      <alignment shrinkToFit="0" vertical="center" wrapText="0"/>
    </xf>
    <xf borderId="1" fillId="10" fontId="9" numFmtId="0" xfId="0" applyAlignment="1" applyBorder="1" applyFill="1" applyFont="1">
      <alignment horizontal="center" shrinkToFit="0" vertical="center" wrapText="1"/>
    </xf>
    <xf borderId="10" fillId="7" fontId="3" numFmtId="0" xfId="0" applyAlignment="1" applyBorder="1" applyFill="1" applyFont="1">
      <alignment shrinkToFit="0" vertical="center" wrapText="0"/>
    </xf>
    <xf borderId="10" fillId="7" fontId="3" numFmtId="169" xfId="0" applyAlignment="1" applyBorder="1" applyFill="1" applyFont="1" applyNumberFormat="1">
      <alignment vertical="center"/>
    </xf>
    <xf borderId="10" fillId="9" fontId="5" numFmtId="168" xfId="0" applyAlignment="1" applyBorder="1" applyFill="1" applyFont="1" applyNumberFormat="1">
      <alignment horizontal="center"/>
    </xf>
    <xf borderId="10" fillId="6" fontId="3" numFmtId="0" xfId="0" applyAlignment="1" applyBorder="1" applyFill="1" applyFont="1">
      <alignment shrinkToFit="0" vertical="center" wrapText="1"/>
    </xf>
    <xf borderId="10" fillId="6" fontId="10" numFmtId="0" xfId="0" applyAlignment="1" applyBorder="1" applyFill="1" applyFont="1">
      <alignment readingOrder="0" shrinkToFit="0" vertical="center" wrapText="0"/>
    </xf>
    <xf borderId="1" fillId="3" fontId="9" numFmtId="0" xfId="0" applyAlignment="1" applyBorder="1" applyFill="1" applyFont="1">
      <alignment shrinkToFit="0" vertical="top" wrapText="1"/>
    </xf>
    <xf borderId="10" fillId="5" fontId="5" numFmtId="0" xfId="0" applyAlignment="1" applyBorder="1" applyFill="1" applyFont="1">
      <alignment horizontal="center" shrinkToFit="0" vertical="center" wrapText="1"/>
    </xf>
    <xf borderId="10" fillId="3" fontId="5" numFmtId="172" xfId="0" applyAlignment="1" applyBorder="1" applyFill="1" applyFont="1" applyNumberFormat="1">
      <alignment horizontal="center"/>
    </xf>
    <xf borderId="7" fillId="3" fontId="5" numFmtId="9" xfId="0" applyAlignment="1" applyBorder="1" applyFill="1" applyFont="1" applyNumberFormat="1">
      <alignment horizontal="center"/>
    </xf>
    <xf borderId="7" fillId="10" fontId="9" numFmtId="0" xfId="0" applyAlignment="1" applyBorder="1" applyFill="1" applyFont="1">
      <alignment horizontal="center"/>
    </xf>
    <xf borderId="7" fillId="9" fontId="11" numFmtId="0" xfId="0" applyAlignment="1" applyBorder="1" applyFill="1" applyFont="1">
      <alignment horizontal="center" vertical="center"/>
    </xf>
    <xf borderId="7" fillId="3" fontId="11" numFmtId="0" xfId="0" applyAlignment="1" applyBorder="1" applyFill="1" applyFont="1">
      <alignment horizontal="center" vertical="center"/>
    </xf>
    <xf borderId="10" fillId="3" fontId="11" numFmtId="0" xfId="0" applyAlignment="1" applyBorder="1" applyFill="1" applyFont="1">
      <alignment horizontal="center" vertical="center"/>
    </xf>
    <xf borderId="10" fillId="7" fontId="3" numFmtId="14" xfId="0" applyAlignment="1" applyBorder="1" applyFill="1" applyFont="1" applyNumberFormat="1">
      <alignment vertical="center"/>
    </xf>
    <xf borderId="10" fillId="7" fontId="3" numFmtId="9" xfId="0" applyAlignment="1" applyBorder="1" applyFill="1" applyFont="1" applyNumberFormat="1">
      <alignment vertical="center"/>
    </xf>
    <xf borderId="10" fillId="2" fontId="1" numFmtId="0" xfId="0" applyAlignment="1" applyBorder="1" applyFill="1" applyFont="1">
      <alignment vertical="center"/>
    </xf>
    <xf borderId="10" fillId="3" fontId="4" numFmtId="0" xfId="0" applyAlignment="1" applyBorder="1" applyFill="1" applyFont="1">
      <alignment vertical="center"/>
    </xf>
    <xf borderId="10" fillId="7" fontId="12" numFmtId="0" xfId="0" applyAlignment="1" applyBorder="1" applyFill="1" applyFont="1">
      <alignment vertical="center"/>
    </xf>
    <xf borderId="10" fillId="6" fontId="3" numFmtId="169" xfId="0" applyAlignment="1" applyBorder="1" applyFill="1" applyFont="1" applyNumberFormat="1">
      <alignment shrinkToFit="0" vertical="center" wrapText="0"/>
    </xf>
    <xf borderId="10" fillId="6" fontId="10" numFmtId="169" xfId="0" applyAlignment="1" applyBorder="1" applyFill="1" applyFont="1" applyNumberFormat="1">
      <alignment readingOrder="0" shrinkToFit="0" vertical="center" wrapText="0"/>
    </xf>
    <xf borderId="10" fillId="6" fontId="3" numFmtId="0" xfId="0" applyAlignment="1" applyBorder="1" applyFill="1" applyFont="1">
      <alignment vertical="center"/>
    </xf>
    <xf borderId="10" fillId="6" fontId="3" numFmtId="173" xfId="0" applyAlignment="1" applyBorder="1" applyFill="1" applyFont="1" applyNumberFormat="1">
      <alignment shrinkToFit="0" vertical="center" wrapText="0"/>
    </xf>
    <xf borderId="10" fillId="6" fontId="3" numFmtId="9" xfId="0" applyAlignment="1" applyBorder="1" applyFill="1" applyFont="1" applyNumberFormat="1">
      <alignment shrinkToFit="0" vertical="center" wrapText="0"/>
    </xf>
    <xf borderId="10" fillId="7" fontId="3" numFmtId="9" xfId="0" applyAlignment="1" applyBorder="1" applyFill="1" applyFont="1" applyNumberFormat="1">
      <alignment shrinkToFit="0" vertical="center" wrapText="0"/>
    </xf>
    <xf borderId="10" fillId="6" fontId="3" numFmtId="10" xfId="0" applyAlignment="1" applyBorder="1" applyFill="1" applyFont="1" applyNumberFormat="1">
      <alignment shrinkToFit="0" vertical="center" wrapText="0"/>
    </xf>
    <xf borderId="10" fillId="4" fontId="5" numFmtId="0" xfId="0" applyAlignment="1" applyBorder="1" applyFill="1" applyFont="1">
      <alignment horizontal="center"/>
    </xf>
    <xf borderId="10" fillId="5" fontId="3" numFmtId="0" xfId="0" applyBorder="1" applyFill="1" applyFont="1"/>
    <xf borderId="10" fillId="3" fontId="3" numFmtId="0" xfId="0" applyBorder="1" applyFill="1" applyFont="1"/>
    <xf borderId="10" fillId="11" fontId="3" numFmtId="0" xfId="0" applyBorder="1" applyFill="1" applyFont="1"/>
    <xf borderId="10" fillId="8" fontId="3" numFmtId="0" xfId="0" applyBorder="1" applyFill="1" applyFont="1"/>
    <xf borderId="10" fillId="9" fontId="3" numFmtId="0" xfId="0" applyBorder="1" applyFill="1" applyFont="1"/>
    <xf borderId="10" fillId="6" fontId="3" numFmtId="0" xfId="0" applyBorder="1" applyFill="1" applyFont="1"/>
    <xf borderId="10" fillId="12" fontId="3" numFmtId="0" xfId="0" applyBorder="1" applyFill="1" applyFont="1"/>
    <xf borderId="10" fillId="13" fontId="3" numFmtId="0" xfId="0" applyBorder="1" applyFill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4A0B1C"/>
      </font>
      <fill>
        <patternFill patternType="solid">
          <fgColor rgb="FFF4C7CC"/>
          <bgColor rgb="FFF4C7CC"/>
        </patternFill>
      </fill>
      <border/>
    </dxf>
    <dxf>
      <font>
        <b/>
        <color rgb="FF4A0B1C"/>
      </font>
      <fill>
        <patternFill patternType="solid">
          <fgColor rgb="FFF4E4B6"/>
          <bgColor rgb="FFF4E4B6"/>
        </patternFill>
      </fill>
      <border/>
    </dxf>
    <dxf>
      <font>
        <color rgb="FF7B666D"/>
      </font>
      <fill>
        <patternFill patternType="solid">
          <fgColor rgb="FFF7F1E9"/>
          <bgColor rgb="FFF7F1E9"/>
        </patternFill>
      </fill>
      <border/>
    </dxf>
    <dxf>
      <font>
        <b/>
        <color rgb="FF5F7259"/>
      </font>
      <fill>
        <patternFill patternType="solid">
          <fgColor rgb="FFC9D7C4"/>
          <bgColor rgb="FFC9D7C4"/>
        </patternFill>
      </fill>
      <border/>
    </dxf>
  </dxfs>
  <tableStyles count="11">
    <tableStyle count="4" pivot="0" name="CALEND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S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E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E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EY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EY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MI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MIL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A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J8:P208" displayName="STVEvents" name="STVEvents" id="1">
  <tableColumns count="7">
    <tableColumn name="Person / Area" id="1"/>
    <tableColumn name="Event" id="2"/>
    <tableColumn name="Date" id="3"/>
    <tableColumn name="Time" id="4"/>
    <tableColumn name="Type" id="5"/>
    <tableColumn name="Location / Notes" id="6"/>
    <tableColumn name="Days Away" id="7"/>
  </tableColumns>
  <tableStyleInfo name="CALENDAR-style" showColumnStripes="0" showFirstColumn="1" showLastColumn="1" showRowStripes="1"/>
</table>
</file>

<file path=xl/tables/table2.xml><?xml version="1.0" encoding="utf-8"?>
<table xmlns="http://schemas.openxmlformats.org/spreadsheetml/2006/main" ref="A5:J205" displayName="STVTasks" name="STVTasks" id="2">
  <tableColumns count="10">
    <tableColumn name="Task" id="1"/>
    <tableColumn name="Area" id="2"/>
    <tableColumn name="Priority" id="3"/>
    <tableColumn name="Added" id="4"/>
    <tableColumn name="Due" id="5"/>
    <tableColumn name="Status" id="6"/>
    <tableColumn name="Assigned To" id="7"/>
    <tableColumn name="Focus Score" id="8"/>
    <tableColumn name="Days Left" id="9"/>
    <tableColumn name="Notes" id="10"/>
  </tableColumns>
  <tableStyleInfo name="TASKS-style" showColumnStripes="0" showFirstColumn="1" showLastColumn="1" showRowStripes="1"/>
</table>
</file>

<file path=xl/tables/table3.xml><?xml version="1.0" encoding="utf-8"?>
<table xmlns="http://schemas.openxmlformats.org/spreadsheetml/2006/main" ref="I8:P208" displayName="STVBills" name="STVBills" id="3">
  <tableColumns count="8">
    <tableColumn name="Bill" id="1"/>
    <tableColumn name="Due Date" id="2"/>
    <tableColumn name="Type" id="3"/>
    <tableColumn name="Amount" id="4"/>
    <tableColumn name="Status" id="5"/>
    <tableColumn name="Autopay" id="6"/>
    <tableColumn name="Account" id="7"/>
    <tableColumn name="Rank" id="8"/>
  </tableColumns>
  <tableStyleInfo name="MONEY-style" showColumnStripes="0" showFirstColumn="1" showLastColumn="1" showRowStripes="1"/>
</table>
</file>

<file path=xl/tables/table4.xml><?xml version="1.0" encoding="utf-8"?>
<table xmlns="http://schemas.openxmlformats.org/spreadsheetml/2006/main" ref="A13:G213" displayName="STVTransactions" name="STVTransactions" id="4">
  <tableColumns count="7">
    <tableColumn name="Date" id="1"/>
    <tableColumn name="Description" id="2"/>
    <tableColumn name="Type" id="3"/>
    <tableColumn name="Category" id="4"/>
    <tableColumn name="Amount" id="5"/>
    <tableColumn name="Account" id="6"/>
    <tableColumn name="Notes" id="7"/>
  </tableColumns>
  <tableStyleInfo name="MONEY-style 2" showColumnStripes="0" showFirstColumn="1" showLastColumn="1" showRowStripes="1"/>
</table>
</file>

<file path=xl/tables/table5.xml><?xml version="1.0" encoding="utf-8"?>
<table xmlns="http://schemas.openxmlformats.org/spreadsheetml/2006/main" ref="I213:N238" displayName="STVSavings" name="STVSavings" id="5">
  <tableColumns count="6">
    <tableColumn name="Goal" id="1"/>
    <tableColumn name="Target" id="2"/>
    <tableColumn name="Current" id="3"/>
    <tableColumn name="Target Date" id="4"/>
    <tableColumn name="Progress" id="5"/>
    <tableColumn name="Notes" id="6"/>
  </tableColumns>
  <tableStyleInfo name="MONEY-style 3" showColumnStripes="0" showFirstColumn="1" showLastColumn="1" showRowStripes="1"/>
</table>
</file>

<file path=xl/tables/table6.xml><?xml version="1.0" encoding="utf-8"?>
<table xmlns="http://schemas.openxmlformats.org/spreadsheetml/2006/main" ref="I243:O263" displayName="STVDebt" name="STVDebt" id="6">
  <tableColumns count="7">
    <tableColumn name="Debt" id="1"/>
    <tableColumn name="Starting Balance" id="2"/>
    <tableColumn name="Current Balance" id="3"/>
    <tableColumn name="Min Payment" id="4"/>
    <tableColumn name="APR" id="5"/>
    <tableColumn name="Target Date" id="6"/>
    <tableColumn name="Progress" id="7"/>
  </tableColumns>
  <tableStyleInfo name="MONEY-style 4" showColumnStripes="0" showFirstColumn="1" showLastColumn="1" showRowStripes="1"/>
</table>
</file>

<file path=xl/tables/table7.xml><?xml version="1.0" encoding="utf-8"?>
<table xmlns="http://schemas.openxmlformats.org/spreadsheetml/2006/main" ref="A7:H57" displayName="STVHomeTasks" name="STVHomeTasks" id="7">
  <tableColumns count="8">
    <tableColumn name="Task" id="1"/>
    <tableColumn name="Room / Area" id="2"/>
    <tableColumn name="Frequency" id="3"/>
    <tableColumn name="Last Done" id="4"/>
    <tableColumn name="Next Due" id="5"/>
    <tableColumn name="Status" id="6"/>
    <tableColumn name="Assigned To" id="7"/>
    <tableColumn name="Notes" id="8"/>
  </tableColumns>
  <tableStyleInfo name="HOME-style" showColumnStripes="0" showFirstColumn="1" showLastColumn="1" showRowStripes="1"/>
</table>
</file>

<file path=xl/tables/table8.xml><?xml version="1.0" encoding="utf-8"?>
<table xmlns="http://schemas.openxmlformats.org/spreadsheetml/2006/main" ref="A73:H123" displayName="STVInventory" name="STVInventory" id="8">
  <tableColumns count="8">
    <tableColumn name="Item" id="1"/>
    <tableColumn name="Category" id="2"/>
    <tableColumn name="On Hand" id="3"/>
    <tableColumn name="Need" id="4"/>
    <tableColumn name="Unit" id="5"/>
    <tableColumn name="Restock?" id="6"/>
    <tableColumn name="Store / Location" id="7"/>
    <tableColumn name="Notes" id="8"/>
  </tableColumns>
  <tableStyleInfo name="HOME-style 2" showColumnStripes="0" showFirstColumn="1" showLastColumn="1" showRowStripes="1"/>
</table>
</file>

<file path=xl/tables/table9.xml><?xml version="1.0" encoding="utf-8"?>
<table xmlns="http://schemas.openxmlformats.org/spreadsheetml/2006/main" ref="A7:H57" displayName="STVFamily" name="STVFamily" id="9">
  <tableColumns count="8">
    <tableColumn name="Person" id="1"/>
    <tableColumn name="School / Provider" id="2"/>
    <tableColumn name="Birthday" id="3"/>
    <tableColumn name="Phone" id="4"/>
    <tableColumn name="Allergies / Notes" id="5"/>
    <tableColumn name="Activity" id="6"/>
    <tableColumn name="Schedule / Details" id="7"/>
    <tableColumn name="Extra Notes" id="8"/>
  </tableColumns>
  <tableStyleInfo name="FAMILY-style" showColumnStripes="0" showFirstColumn="1" showLastColumn="1" showRowStripes="1"/>
</table>
</file>

<file path=xl/tables/table10.xml><?xml version="1.0" encoding="utf-8"?>
<table xmlns="http://schemas.openxmlformats.org/spreadsheetml/2006/main" ref="A63:H113" displayName="STVFamilyDates" name="STVFamilyDates" id="10">
  <tableColumns count="8">
    <tableColumn name="Person" id="1"/>
    <tableColumn name="Event" id="2"/>
    <tableColumn name="Date" id="3"/>
    <tableColumn name="Time" id="4"/>
    <tableColumn name="Type" id="5"/>
    <tableColumn name="Location" id="6"/>
    <tableColumn name="What to Bring" id="7"/>
    <tableColumn name="Notes" id="8"/>
  </tableColumns>
  <tableStyleInfo name="FAMILY-style 2" showColumnStripes="0" showFirstColumn="1" showLastColumn="1" showRowStripes="1"/>
</table>
</file>

<file path=xl/tables/table11.xml><?xml version="1.0" encoding="utf-8"?>
<table xmlns="http://schemas.openxmlformats.org/spreadsheetml/2006/main" ref="A5:I105" displayName="STVGoals" name="STVGoals" id="11">
  <tableColumns count="9">
    <tableColumn name="Goal" id="1"/>
    <tableColumn name="Area" id="2"/>
    <tableColumn name="Why It Matters" id="3"/>
    <tableColumn name="Target Date" id="4"/>
    <tableColumn name="Progress" id="5"/>
    <tableColumn name="Status" id="6"/>
    <tableColumn name="Next Milestone" id="7"/>
    <tableColumn name="Next Action" id="8"/>
    <tableColumn name="Rank" id="9"/>
  </tableColumns>
  <tableStyleInfo name="GO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6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8.0"/>
    <col customWidth="1" min="9" max="26" width="8.88"/>
  </cols>
  <sheetData>
    <row r="1" ht="15.0" customHeight="1">
      <c r="A1" s="1" t="s">
        <v>1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/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" t="s">
        <v>4</v>
      </c>
      <c r="B3" s="9"/>
      <c r="C3" s="9"/>
      <c r="D3" s="9"/>
      <c r="E3" s="9"/>
      <c r="F3" s="9"/>
      <c r="G3" s="9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4" t="s">
        <v>11</v>
      </c>
      <c r="B5" s="9"/>
      <c r="C5" s="9"/>
      <c r="D5" s="9"/>
      <c r="E5" s="9"/>
      <c r="F5" s="9"/>
      <c r="G5" s="9"/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21" t="s">
        <v>20</v>
      </c>
      <c r="B6" s="2"/>
      <c r="C6" s="2"/>
      <c r="D6" s="2"/>
      <c r="E6" s="2"/>
      <c r="F6" s="2"/>
      <c r="G6" s="2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22"/>
      <c r="H7" s="2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22"/>
      <c r="H8" s="2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22"/>
      <c r="H9" s="2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5"/>
      <c r="B10" s="6"/>
      <c r="C10" s="6"/>
      <c r="D10" s="6"/>
      <c r="E10" s="6"/>
      <c r="F10" s="6"/>
      <c r="G10" s="6"/>
      <c r="H10" s="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4" t="s">
        <v>32</v>
      </c>
      <c r="B12" s="9"/>
      <c r="C12" s="9"/>
      <c r="D12" s="9"/>
      <c r="E12" s="9"/>
      <c r="F12" s="9"/>
      <c r="G12" s="9"/>
      <c r="H12" s="10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26" t="s">
        <v>12</v>
      </c>
      <c r="B13" s="27" t="s">
        <v>33</v>
      </c>
      <c r="C13" s="10"/>
      <c r="D13" s="27" t="s">
        <v>34</v>
      </c>
      <c r="E13" s="9"/>
      <c r="F13" s="9"/>
      <c r="G13" s="9"/>
      <c r="H13" s="1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26" t="s">
        <v>21</v>
      </c>
      <c r="B14" s="27" t="s">
        <v>35</v>
      </c>
      <c r="C14" s="10"/>
      <c r="D14" s="27" t="s">
        <v>36</v>
      </c>
      <c r="E14" s="9"/>
      <c r="F14" s="9"/>
      <c r="G14" s="9"/>
      <c r="H14" s="1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26" t="s">
        <v>37</v>
      </c>
      <c r="B15" s="27" t="s">
        <v>38</v>
      </c>
      <c r="C15" s="10"/>
      <c r="D15" s="27" t="s">
        <v>40</v>
      </c>
      <c r="E15" s="9"/>
      <c r="F15" s="9"/>
      <c r="G15" s="9"/>
      <c r="H15" s="10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26" t="s">
        <v>41</v>
      </c>
      <c r="B16" s="27" t="s">
        <v>42</v>
      </c>
      <c r="C16" s="10"/>
      <c r="D16" s="27" t="s">
        <v>44</v>
      </c>
      <c r="E16" s="9"/>
      <c r="F16" s="9"/>
      <c r="G16" s="9"/>
      <c r="H16" s="10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26" t="s">
        <v>49</v>
      </c>
      <c r="B17" s="27" t="s">
        <v>51</v>
      </c>
      <c r="C17" s="10"/>
      <c r="D17" s="27" t="s">
        <v>53</v>
      </c>
      <c r="E17" s="9"/>
      <c r="F17" s="9"/>
      <c r="G17" s="9"/>
      <c r="H17" s="10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34" t="s">
        <v>57</v>
      </c>
      <c r="B21" s="9"/>
      <c r="C21" s="9"/>
      <c r="D21" s="9"/>
      <c r="E21" s="9"/>
      <c r="F21" s="9"/>
      <c r="G21" s="9"/>
      <c r="H21" s="1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38" t="s">
        <v>63</v>
      </c>
      <c r="B22" s="2"/>
      <c r="C22" s="2"/>
      <c r="D22" s="2"/>
      <c r="E22" s="2"/>
      <c r="F22" s="2"/>
      <c r="G22" s="2"/>
      <c r="H22" s="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22"/>
      <c r="H23" s="2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22"/>
      <c r="H24" s="2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5"/>
      <c r="B25" s="6"/>
      <c r="C25" s="6"/>
      <c r="D25" s="6"/>
      <c r="E25" s="6"/>
      <c r="F25" s="6"/>
      <c r="G25" s="6"/>
      <c r="H25" s="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">
    <mergeCell ref="A1:H2"/>
    <mergeCell ref="A3:H3"/>
    <mergeCell ref="A5:H5"/>
    <mergeCell ref="A6:H10"/>
    <mergeCell ref="A12:H12"/>
    <mergeCell ref="B13:C13"/>
    <mergeCell ref="D13:H13"/>
    <mergeCell ref="D17:H17"/>
    <mergeCell ref="A21:H21"/>
    <mergeCell ref="A22:H25"/>
    <mergeCell ref="B14:C14"/>
    <mergeCell ref="D14:H14"/>
    <mergeCell ref="B15:C15"/>
    <mergeCell ref="D15:H15"/>
    <mergeCell ref="B16:C16"/>
    <mergeCell ref="D16:H16"/>
    <mergeCell ref="B17:C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5.0"/>
    <col customWidth="1" min="3" max="3" width="15.0"/>
    <col customWidth="1" min="4" max="5" width="14.0"/>
    <col customWidth="1" min="6" max="6" width="18.0"/>
    <col customWidth="1" min="7" max="7" width="3.0"/>
    <col customWidth="1" min="8" max="8" width="22.0"/>
    <col customWidth="1" min="9" max="9" width="15.0"/>
    <col customWidth="1" min="10" max="10" width="14.0"/>
    <col customWidth="1" min="11" max="11" width="16.0"/>
    <col customWidth="1" min="12" max="12" width="15.0"/>
    <col customWidth="1" min="13" max="14" width="16.0"/>
    <col customWidth="1" min="15" max="26" width="8.88"/>
  </cols>
  <sheetData>
    <row r="1" ht="13.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4"/>
      <c r="B5" s="12" t="s">
        <v>7</v>
      </c>
      <c r="C5" s="9"/>
      <c r="D5" s="9"/>
      <c r="E5" s="9"/>
      <c r="F5" s="10"/>
      <c r="G5" s="4"/>
      <c r="H5" s="15">
        <f>TODAY()</f>
        <v>46288</v>
      </c>
      <c r="I5" s="1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4"/>
      <c r="B7" s="19" t="s">
        <v>14</v>
      </c>
      <c r="C7" s="10"/>
      <c r="D7" s="4"/>
      <c r="E7" s="19" t="s">
        <v>10</v>
      </c>
      <c r="F7" s="10"/>
      <c r="G7" s="4"/>
      <c r="H7" s="19" t="s">
        <v>22</v>
      </c>
      <c r="I7" s="10"/>
      <c r="J7" s="4"/>
      <c r="K7" s="19" t="s">
        <v>23</v>
      </c>
      <c r="L7" s="1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4"/>
      <c r="B8" s="24">
        <f>COUNTIFS(TASKS!$A$6:$A$205,"&lt;&gt;",TASKS!$F$6:$F$205,"&lt;&gt;Done")</f>
        <v>5</v>
      </c>
      <c r="C8" s="3"/>
      <c r="D8" s="4"/>
      <c r="E8" s="24">
        <f>COUNTIFS(TASKS!$A$6:$A$205,"&lt;&gt;",TASKS!$E$6:$E$205,"&gt;="&amp;TODAY(),TASKS!$E$6:$E$205,"&lt;="&amp;TODAY()+7,TASKS!$F$6:$F$205,"&lt;&gt;Done")</f>
        <v>0</v>
      </c>
      <c r="F8" s="3"/>
      <c r="G8" s="4"/>
      <c r="H8" s="24">
        <f>COUNTIFS(MONEY!$I$9:$I$208,"&lt;&gt;",MONEY!$J$9:$J$208,"&gt;="&amp;TODAY(),MONEY!$J$9:$J$208,"&lt;="&amp;TODAY()+14,MONEY!$M$9:$M$208,"&lt;&gt;Paid")</f>
        <v>2</v>
      </c>
      <c r="I8" s="3"/>
      <c r="J8" s="4"/>
      <c r="K8" s="30">
        <f>SUMIFS(MONEY!$E$14:$E$213,MONEY!$C$14:$C$213,"Income",MONEY!$A$14:$A$213,"&gt;="&amp;EOMONTH(TODAY(),-1)+1,MONEY!$A$14:$A$213,"&lt;="&amp;EOMONTH(TODAY(),0))-SUMIFS(MONEY!$E$14:$E$213,MONEY!$C$14:$C$213,"Expense",MONEY!$A$14:$A$213,"&gt;="&amp;EOMONTH(TODAY(),-1)+1,MONEY!$A$14:$A$213,"&lt;="&amp;EOMONTH(TODAY(),0))</f>
        <v>2547.39</v>
      </c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4"/>
      <c r="B9" s="22"/>
      <c r="C9" s="23"/>
      <c r="D9" s="4"/>
      <c r="E9" s="22"/>
      <c r="F9" s="23"/>
      <c r="G9" s="4"/>
      <c r="H9" s="22"/>
      <c r="I9" s="23"/>
      <c r="J9" s="4"/>
      <c r="K9" s="22"/>
      <c r="L9" s="2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4"/>
      <c r="B10" s="5"/>
      <c r="C10" s="7"/>
      <c r="D10" s="4"/>
      <c r="E10" s="5"/>
      <c r="F10" s="7"/>
      <c r="G10" s="4"/>
      <c r="H10" s="5"/>
      <c r="I10" s="7"/>
      <c r="J10" s="4"/>
      <c r="K10" s="5"/>
      <c r="L10" s="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4"/>
      <c r="B13" s="32" t="s">
        <v>43</v>
      </c>
      <c r="C13" s="9"/>
      <c r="D13" s="9"/>
      <c r="E13" s="9"/>
      <c r="F13" s="10"/>
      <c r="G13" s="4"/>
      <c r="H13" s="32" t="s">
        <v>46</v>
      </c>
      <c r="I13" s="9"/>
      <c r="J13" s="9"/>
      <c r="K13" s="9"/>
      <c r="L13" s="10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4"/>
      <c r="B14" s="18" t="s">
        <v>13</v>
      </c>
      <c r="C14" s="18" t="s">
        <v>15</v>
      </c>
      <c r="D14" s="18" t="s">
        <v>16</v>
      </c>
      <c r="E14" s="18" t="s">
        <v>17</v>
      </c>
      <c r="F14" s="18" t="s">
        <v>18</v>
      </c>
      <c r="G14" s="4"/>
      <c r="H14" s="18" t="s">
        <v>54</v>
      </c>
      <c r="I14" s="18" t="s">
        <v>16</v>
      </c>
      <c r="J14" s="18" t="s">
        <v>55</v>
      </c>
      <c r="K14" s="18" t="s">
        <v>50</v>
      </c>
      <c r="L14" s="18" t="s">
        <v>18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25" t="str">
        <f t="array" ref="B15">IF(SMALL(TASKS!$H$6:$H$205,1)&gt;=999999,"",INDEX(TASKS!$A$6:$A$205,MATCH(SMALL(TASKS!$H$6:$H$205,1),TASKS!$H$6:$H$205,0)))</f>
        <v>Pay electric bill</v>
      </c>
      <c r="C15" s="25" t="str">
        <f t="array" ref="C15">IF(B15="","",INDEX(TASKS!$B$6:$B$205,MATCH(B15,TASKS!$A$6:$A$205,0)))</f>
        <v>Money</v>
      </c>
      <c r="D15" s="36">
        <f t="array" ref="D15">IF(B15="","",INDEX(TASKS!$E$6:$E$205,MATCH(B15,TASKS!$A$6:$A$205,0)))</f>
        <v>46281</v>
      </c>
      <c r="E15" s="25" t="str">
        <f t="array" ref="E15">IF(B15="","",INDEX(TASKS!$C$6:$C$205,MATCH(B15,TASKS!$A$6:$A$205,0)))</f>
        <v>Urgent</v>
      </c>
      <c r="F15" s="25" t="str">
        <f t="array" ref="F15">IF(B15="","",INDEX(TASKS!$F$6:$F$205,MATCH(B15,TASKS!$A$6:$A$205,0)))</f>
        <v>Not Started</v>
      </c>
      <c r="G15" s="4"/>
      <c r="H15" s="25" t="str">
        <f t="array" ref="H15">IF(SMALL(MONEY!$P$9:$P$208,1)&gt;=999999,"",INDEX(MONEY!$I$9:$I$208,MATCH(SMALL(MONEY!$P$9:$P$208,1),MONEY!$P$9:$P$208,0)))</f>
        <v>Car Insurance</v>
      </c>
      <c r="I15" s="29">
        <f t="array" ref="I15">IF(H15="","",INDEX(MONEY!$J$9:$J$208,MATCH(H15,MONEY!$I$9:$I$208,0)))</f>
        <v>46291</v>
      </c>
      <c r="J15" s="40">
        <f t="array" ref="J15">IF(H15="","",INDEX(MONEY!$L$9:$L$208,MATCH(H15,MONEY!$I$9:$I$208,0)))</f>
        <v>210</v>
      </c>
      <c r="K15" s="25" t="str">
        <f t="array" ref="K15">IF(H15="","",INDEX(MONEY!$K$9:$K$208,MATCH(H15,MONEY!$I$9:$I$208,0)))</f>
        <v>Bill</v>
      </c>
      <c r="L15" s="25" t="str">
        <f t="array" ref="L15">IF(H15="","",INDEX(MONEY!$M$9:$M$208,MATCH(H15,MONEY!$I$9:$I$208,0)))</f>
        <v>Upcoming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25" t="str">
        <f t="array" ref="B16">IF(SMALL(TASKS!$H$6:$H$205,2)&gt;=999999,"",INDEX(TASKS!$A$6:$A$205,MATCH(SMALL(TASKS!$H$6:$H$205,2),TASKS!$H$6:$H$205,0)))</f>
        <v>Plan meals for the week</v>
      </c>
      <c r="C16" s="25" t="str">
        <f t="array" ref="C16">IF(B16="","",INDEX(TASKS!$B$6:$B$205,MATCH(B16,TASKS!$A$6:$A$205,0)))</f>
        <v>Home</v>
      </c>
      <c r="D16" s="36">
        <f t="array" ref="D16">IF(B16="","",INDEX(TASKS!$E$6:$E$205,MATCH(B16,TASKS!$A$6:$A$205,0)))</f>
        <v>46279</v>
      </c>
      <c r="E16" s="25" t="str">
        <f t="array" ref="E16">IF(B16="","",INDEX(TASKS!$C$6:$C$205,MATCH(B16,TASKS!$A$6:$A$205,0)))</f>
        <v>High</v>
      </c>
      <c r="F16" s="25" t="str">
        <f t="array" ref="F16">IF(B16="","",INDEX(TASKS!$F$6:$F$205,MATCH(B16,TASKS!$A$6:$A$205,0)))</f>
        <v>Not Started</v>
      </c>
      <c r="G16" s="4"/>
      <c r="H16" s="25" t="str">
        <f t="array" ref="H16">IF(SMALL(MONEY!$P$9:$P$208,2)&gt;=999999,"",INDEX(MONEY!$I$9:$I$208,MATCH(SMALL(MONEY!$P$9:$P$208,2),MONEY!$P$9:$P$208,0)))</f>
        <v>Music</v>
      </c>
      <c r="I16" s="29">
        <f t="array" ref="I16">IF(H16="","",INDEX(MONEY!$J$9:$J$208,MATCH(H16,MONEY!$I$9:$I$208,0)))</f>
        <v>46293</v>
      </c>
      <c r="J16" s="40">
        <f t="array" ref="J16">IF(H16="","",INDEX(MONEY!$L$9:$L$208,MATCH(H16,MONEY!$I$9:$I$208,0)))</f>
        <v>10.99</v>
      </c>
      <c r="K16" s="25" t="str">
        <f t="array" ref="K16">IF(H16="","",INDEX(MONEY!$K$9:$K$208,MATCH(H16,MONEY!$I$9:$I$208,0)))</f>
        <v>Subscription</v>
      </c>
      <c r="L16" s="25" t="str">
        <f t="array" ref="L16">IF(H16="","",INDEX(MONEY!$M$9:$M$208,MATCH(H16,MONEY!$I$9:$I$208,0)))</f>
        <v>Upcoming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25" t="str">
        <f t="array" ref="B17">IF(SMALL(TASKS!$H$6:$H$205,3)&gt;=999999,"",INDEX(TASKS!$A$6:$A$205,MATCH(SMALL(TASKS!$H$6:$H$205,3),TASKS!$H$6:$H$205,0)))</f>
        <v>Grocery shopping</v>
      </c>
      <c r="C17" s="25" t="str">
        <f t="array" ref="C17">IF(B17="","",INDEX(TASKS!$B$6:$B$205,MATCH(B17,TASKS!$A$6:$A$205,0)))</f>
        <v>Home</v>
      </c>
      <c r="D17" s="36">
        <f t="array" ref="D17">IF(B17="","",INDEX(TASKS!$E$6:$E$205,MATCH(B17,TASKS!$A$6:$A$205,0)))</f>
        <v>46283</v>
      </c>
      <c r="E17" s="25" t="str">
        <f t="array" ref="E17">IF(B17="","",INDEX(TASKS!$C$6:$C$205,MATCH(B17,TASKS!$A$6:$A$205,0)))</f>
        <v>High</v>
      </c>
      <c r="F17" s="25" t="str">
        <f t="array" ref="F17">IF(B17="","",INDEX(TASKS!$F$6:$F$205,MATCH(B17,TASKS!$A$6:$A$205,0)))</f>
        <v>Not Started</v>
      </c>
      <c r="G17" s="4"/>
      <c r="H17" s="25" t="str">
        <f t="array" ref="H17">IF(SMALL(MONEY!$P$9:$P$208,3)&gt;=999999,"",INDEX(MONEY!$I$9:$I$208,MATCH(SMALL(MONEY!$P$9:$P$208,3),MONEY!$P$9:$P$208,0)))</f>
        <v/>
      </c>
      <c r="I17" s="29" t="str">
        <f t="array" ref="I17">IF(H17="","",INDEX(MONEY!$J$9:$J$208,MATCH(H17,MONEY!$I$9:$I$208,0)))</f>
        <v/>
      </c>
      <c r="J17" s="40" t="str">
        <f t="array" ref="J17">IF(H17="","",INDEX(MONEY!$L$9:$L$208,MATCH(H17,MONEY!$I$9:$I$208,0)))</f>
        <v/>
      </c>
      <c r="K17" s="25" t="str">
        <f t="array" ref="K17">IF(H17="","",INDEX(MONEY!$K$9:$K$208,MATCH(H17,MONEY!$I$9:$I$208,0)))</f>
        <v/>
      </c>
      <c r="L17" s="25" t="str">
        <f t="array" ref="L17">IF(H17="","",INDEX(MONEY!$M$9:$M$208,MATCH(H17,MONEY!$I$9:$I$208,0)))</f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25" t="str">
        <f t="array" ref="B18">IF(SMALL(TASKS!$H$6:$H$205,4)&gt;=999999,"",INDEX(TASKS!$A$6:$A$205,MATCH(SMALL(TASKS!$H$6:$H$205,4),TASKS!$H$6:$H$205,0)))</f>
        <v>Workout 30 minutes</v>
      </c>
      <c r="C18" s="25" t="str">
        <f t="array" ref="C18">IF(B18="","",INDEX(TASKS!$B$6:$B$205,MATCH(B18,TASKS!$A$6:$A$205,0)))</f>
        <v>Health</v>
      </c>
      <c r="D18" s="36">
        <f t="array" ref="D18">IF(B18="","",INDEX(TASKS!$E$6:$E$205,MATCH(B18,TASKS!$A$6:$A$205,0)))</f>
        <v>46280</v>
      </c>
      <c r="E18" s="25" t="str">
        <f t="array" ref="E18">IF(B18="","",INDEX(TASKS!$C$6:$C$205,MATCH(B18,TASKS!$A$6:$A$205,0)))</f>
        <v>Medium</v>
      </c>
      <c r="F18" s="25" t="str">
        <f t="array" ref="F18">IF(B18="","",INDEX(TASKS!$F$6:$F$205,MATCH(B18,TASKS!$A$6:$A$205,0)))</f>
        <v>In Progress</v>
      </c>
      <c r="G18" s="4"/>
      <c r="H18" s="25" t="str">
        <f t="array" ref="H18">IF(SMALL(MONEY!$P$9:$P$208,4)&gt;=999999,"",INDEX(MONEY!$I$9:$I$208,MATCH(SMALL(MONEY!$P$9:$P$208,4),MONEY!$P$9:$P$208,0)))</f>
        <v/>
      </c>
      <c r="I18" s="29" t="str">
        <f t="array" ref="I18">IF(H18="","",INDEX(MONEY!$J$9:$J$208,MATCH(H18,MONEY!$I$9:$I$208,0)))</f>
        <v/>
      </c>
      <c r="J18" s="40" t="str">
        <f t="array" ref="J18">IF(H18="","",INDEX(MONEY!$L$9:$L$208,MATCH(H18,MONEY!$I$9:$I$208,0)))</f>
        <v/>
      </c>
      <c r="K18" s="25" t="str">
        <f t="array" ref="K18">IF(H18="","",INDEX(MONEY!$K$9:$K$208,MATCH(H18,MONEY!$I$9:$I$208,0)))</f>
        <v/>
      </c>
      <c r="L18" s="25" t="str">
        <f t="array" ref="L18">IF(H18="","",INDEX(MONEY!$M$9:$M$208,MATCH(H18,MONEY!$I$9:$I$208,0)))</f>
        <v/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25" t="str">
        <f t="array" ref="B19">IF(SMALL(TASKS!$H$6:$H$205,5)&gt;=999999,"",INDEX(TASKS!$A$6:$A$205,MATCH(SMALL(TASKS!$H$6:$H$205,5),TASKS!$H$6:$H$205,0)))</f>
        <v>Organize bedroom</v>
      </c>
      <c r="C19" s="25" t="str">
        <f t="array" ref="C19">IF(B19="","",INDEX(TASKS!$B$6:$B$205,MATCH(B19,TASKS!$A$6:$A$205,0)))</f>
        <v>Home</v>
      </c>
      <c r="D19" s="36">
        <f t="array" ref="D19">IF(B19="","",INDEX(TASKS!$E$6:$E$205,MATCH(B19,TASKS!$A$6:$A$205,0)))</f>
        <v>46282</v>
      </c>
      <c r="E19" s="25" t="str">
        <f t="array" ref="E19">IF(B19="","",INDEX(TASKS!$C$6:$C$205,MATCH(B19,TASKS!$A$6:$A$205,0)))</f>
        <v>Low</v>
      </c>
      <c r="F19" s="25" t="str">
        <f t="array" ref="F19">IF(B19="","",INDEX(TASKS!$F$6:$F$205,MATCH(B19,TASKS!$A$6:$A$205,0)))</f>
        <v>Not Started</v>
      </c>
      <c r="G19" s="4"/>
      <c r="H19" s="25" t="str">
        <f t="array" ref="H19">IF(SMALL(MONEY!$P$9:$P$208,5)&gt;=999999,"",INDEX(MONEY!$I$9:$I$208,MATCH(SMALL(MONEY!$P$9:$P$208,5),MONEY!$P$9:$P$208,0)))</f>
        <v/>
      </c>
      <c r="I19" s="29" t="str">
        <f t="array" ref="I19">IF(H19="","",INDEX(MONEY!$J$9:$J$208,MATCH(H19,MONEY!$I$9:$I$208,0)))</f>
        <v/>
      </c>
      <c r="J19" s="40" t="str">
        <f t="array" ref="J19">IF(H19="","",INDEX(MONEY!$L$9:$L$208,MATCH(H19,MONEY!$I$9:$I$208,0)))</f>
        <v/>
      </c>
      <c r="K19" s="25" t="str">
        <f t="array" ref="K19">IF(H19="","",INDEX(MONEY!$K$9:$K$208,MATCH(H19,MONEY!$I$9:$I$208,0)))</f>
        <v/>
      </c>
      <c r="L19" s="25" t="str">
        <f t="array" ref="L19">IF(H19="","",INDEX(MONEY!$M$9:$M$208,MATCH(H19,MONEY!$I$9:$I$208,0)))</f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4"/>
      <c r="B22" s="32" t="s">
        <v>86</v>
      </c>
      <c r="C22" s="9"/>
      <c r="D22" s="9"/>
      <c r="E22" s="9"/>
      <c r="F22" s="10"/>
      <c r="G22" s="4"/>
      <c r="H22" s="32" t="s">
        <v>87</v>
      </c>
      <c r="I22" s="9"/>
      <c r="J22" s="9"/>
      <c r="K22" s="9"/>
      <c r="L22" s="1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4"/>
      <c r="B23" s="18" t="s">
        <v>39</v>
      </c>
      <c r="C23" s="18" t="s">
        <v>45</v>
      </c>
      <c r="D23" s="18" t="s">
        <v>47</v>
      </c>
      <c r="E23" s="18" t="s">
        <v>48</v>
      </c>
      <c r="F23" s="18" t="s">
        <v>50</v>
      </c>
      <c r="G23" s="4"/>
      <c r="H23" s="45" t="s">
        <v>88</v>
      </c>
      <c r="I23" s="45" t="s">
        <v>89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25" t="str">
        <f t="array" ref="B24">IF(SMALL(CALENDAR!$P$9:$P$208,1)&gt;=999999,"",INDEX(CALENDAR!$J$9:$J$208,MATCH(SMALL(CALENDAR!$P$9:$P$208,1),CALENDAR!$P$9:$P$208,0)))</f>
        <v>School</v>
      </c>
      <c r="C24" s="25" t="str">
        <f t="array" ref="C24">IF(B24="","",INDEX(CALENDAR!$K$9:$K$208,MATCH(SMALL(CALENDAR!$P$9:$P$208,1),CALENDAR!$P$9:$P$208,0)))</f>
        <v>Picture Day</v>
      </c>
      <c r="D24" s="29">
        <f t="array" ref="D24">IF(B24="","",INDEX(CALENDAR!$L$9:$L$208,MATCH(SMALL(CALENDAR!$P$9:$P$208,1),CALENDAR!$P$9:$P$208,0)))</f>
        <v>46289</v>
      </c>
      <c r="E24" s="25" t="str">
        <f t="array" ref="E24">IF(B24="","",INDEX(CALENDAR!$M$9:$M$208,MATCH(SMALL(CALENDAR!$P$9:$P$208,1),CALENDAR!$P$9:$P$208,0)))</f>
        <v>8:00 AM</v>
      </c>
      <c r="F24" s="25" t="str">
        <f t="array" ref="F24">IF(B24="","",INDEX(CALENDAR!$N$9:$N$208,MATCH(SMALL(CALENDAR!$P$9:$P$208,1),CALENDAR!$P$9:$P$208,0)))</f>
        <v>School</v>
      </c>
      <c r="G24" s="4"/>
      <c r="H24" s="46">
        <f>SUM(MONEY!$K$214:$K$238)</f>
        <v>4150</v>
      </c>
      <c r="I24" s="46">
        <f>SUM(MONEY!$J$214:$J$238)</f>
        <v>13500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25" t="str">
        <f t="array" ref="B25">IF(SMALL(CALENDAR!$P$9:$P$208,2)&gt;=999999,"",INDEX(CALENDAR!$J$9:$J$208,MATCH(SMALL(CALENDAR!$P$9:$P$208,2),CALENDAR!$P$9:$P$208,0)))</f>
        <v>Me</v>
      </c>
      <c r="C25" s="25" t="str">
        <f t="array" ref="C25">IF(B25="","",INDEX(CALENDAR!$K$9:$K$208,MATCH(SMALL(CALENDAR!$P$9:$P$208,2),CALENDAR!$P$9:$P$208,0)))</f>
        <v>Monthly Reset</v>
      </c>
      <c r="D25" s="29">
        <f t="array" ref="D25">IF(B25="","",INDEX(CALENDAR!$L$9:$L$208,MATCH(SMALL(CALENDAR!$P$9:$P$208,2),CALENDAR!$P$9:$P$208,0)))</f>
        <v>46296</v>
      </c>
      <c r="E25" s="25" t="str">
        <f t="array" ref="E25">IF(B25="","",INDEX(CALENDAR!$M$9:$M$208,MATCH(SMALL(CALENDAR!$P$9:$P$208,2),CALENDAR!$P$9:$P$208,0)))</f>
        <v>7:00 PM</v>
      </c>
      <c r="F25" s="25" t="str">
        <f t="array" ref="F25">IF(B25="","",INDEX(CALENDAR!$N$9:$N$208,MATCH(SMALL(CALENDAR!$P$9:$P$208,2),CALENDAR!$P$9:$P$208,0)))</f>
        <v>Personal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25" t="str">
        <f t="array" ref="B26">IF(SMALL(CALENDAR!$P$9:$P$208,3)&gt;=999999,"",INDEX(CALENDAR!$J$9:$J$208,MATCH(SMALL(CALENDAR!$P$9:$P$208,3),CALENDAR!$P$9:$P$208,0)))</f>
        <v/>
      </c>
      <c r="C26" s="25" t="str">
        <f t="array" ref="C26">IF(B26="","",INDEX(CALENDAR!$K$9:$K$208,MATCH(SMALL(CALENDAR!$P$9:$P$208,3),CALENDAR!$P$9:$P$208,0)))</f>
        <v/>
      </c>
      <c r="D26" s="29" t="str">
        <f t="array" ref="D26">IF(B26="","",INDEX(CALENDAR!$L$9:$L$208,MATCH(SMALL(CALENDAR!$P$9:$P$208,3),CALENDAR!$P$9:$P$208,0)))</f>
        <v/>
      </c>
      <c r="E26" s="25" t="str">
        <f t="array" ref="E26">IF(B26="","",INDEX(CALENDAR!$M$9:$M$208,MATCH(SMALL(CALENDAR!$P$9:$P$208,3),CALENDAR!$P$9:$P$208,0)))</f>
        <v/>
      </c>
      <c r="F26" s="25" t="str">
        <f t="array" ref="F26">IF(B26="","",INDEX(CALENDAR!$N$9:$N$208,MATCH(SMALL(CALENDAR!$P$9:$P$208,3),CALENDAR!$P$9:$P$208,0)))</f>
        <v/>
      </c>
      <c r="G26" s="4"/>
      <c r="H26" s="47">
        <f>IFERROR(SUM(MONEY!$K$214:$K$238)/SUM(MONEY!$J$214:$J$238),0)</f>
        <v>0.3074074074</v>
      </c>
      <c r="I26" s="9"/>
      <c r="J26" s="9"/>
      <c r="K26" s="9"/>
      <c r="L26" s="1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25" t="str">
        <f t="array" ref="B27">IF(SMALL(CALENDAR!$P$9:$P$208,4)&gt;=999999,"",INDEX(CALENDAR!$J$9:$J$208,MATCH(SMALL(CALENDAR!$P$9:$P$208,4),CALENDAR!$P$9:$P$208,0)))</f>
        <v/>
      </c>
      <c r="C27" s="25" t="str">
        <f t="array" ref="C27">IF(B27="","",INDEX(CALENDAR!$K$9:$K$208,MATCH(SMALL(CALENDAR!$P$9:$P$208,4),CALENDAR!$P$9:$P$208,0)))</f>
        <v/>
      </c>
      <c r="D27" s="29" t="str">
        <f t="array" ref="D27">IF(B27="","",INDEX(CALENDAR!$L$9:$L$208,MATCH(SMALL(CALENDAR!$P$9:$P$208,4),CALENDAR!$P$9:$P$208,0)))</f>
        <v/>
      </c>
      <c r="E27" s="25" t="str">
        <f t="array" ref="E27">IF(B27="","",INDEX(CALENDAR!$M$9:$M$208,MATCH(SMALL(CALENDAR!$P$9:$P$208,4),CALENDAR!$P$9:$P$208,0)))</f>
        <v/>
      </c>
      <c r="F27" s="25" t="str">
        <f t="array" ref="F27">IF(B27="","",INDEX(CALENDAR!$N$9:$N$208,MATCH(SMALL(CALENDAR!$P$9:$P$208,4),CALENDAR!$P$9:$P$208,0)))</f>
        <v/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25" t="str">
        <f t="array" ref="B28">IF(SMALL(CALENDAR!$P$9:$P$208,5)&gt;=999999,"",INDEX(CALENDAR!$J$9:$J$208,MATCH(SMALL(CALENDAR!$P$9:$P$208,5),CALENDAR!$P$9:$P$208,0)))</f>
        <v/>
      </c>
      <c r="C28" s="25" t="str">
        <f t="array" ref="C28">IF(B28="","",INDEX(CALENDAR!$K$9:$K$208,MATCH(SMALL(CALENDAR!$P$9:$P$208,5),CALENDAR!$P$9:$P$208,0)))</f>
        <v/>
      </c>
      <c r="D28" s="29" t="str">
        <f t="array" ref="D28">IF(B28="","",INDEX(CALENDAR!$L$9:$L$208,MATCH(SMALL(CALENDAR!$P$9:$P$208,5),CALENDAR!$P$9:$P$208,0)))</f>
        <v/>
      </c>
      <c r="E28" s="25" t="str">
        <f t="array" ref="E28">IF(B28="","",INDEX(CALENDAR!$M$9:$M$208,MATCH(SMALL(CALENDAR!$P$9:$P$208,5),CALENDAR!$P$9:$P$208,0)))</f>
        <v/>
      </c>
      <c r="F28" s="25" t="str">
        <f t="array" ref="F28">IF(B28="","",INDEX(CALENDAR!$N$9:$N$208,MATCH(SMALL(CALENDAR!$P$9:$P$208,5),CALENDAR!$P$9:$P$208,0)))</f>
        <v/>
      </c>
      <c r="G28" s="4"/>
      <c r="H28" s="48" t="s">
        <v>90</v>
      </c>
      <c r="I28" s="9"/>
      <c r="J28" s="9"/>
      <c r="K28" s="9"/>
      <c r="L28" s="10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9.25" customHeight="1">
      <c r="A31" s="4"/>
      <c r="B31" s="32" t="s">
        <v>91</v>
      </c>
      <c r="C31" s="9"/>
      <c r="D31" s="9"/>
      <c r="E31" s="9"/>
      <c r="F31" s="10"/>
      <c r="G31" s="4"/>
      <c r="H31" s="32" t="s">
        <v>92</v>
      </c>
      <c r="I31" s="9"/>
      <c r="J31" s="9"/>
      <c r="K31" s="9"/>
      <c r="L31" s="9"/>
      <c r="M31" s="9"/>
      <c r="N31" s="1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9.25" customHeight="1">
      <c r="A32" s="4"/>
      <c r="B32" s="18" t="s">
        <v>93</v>
      </c>
      <c r="C32" s="18" t="s">
        <v>15</v>
      </c>
      <c r="D32" s="18" t="s">
        <v>94</v>
      </c>
      <c r="E32" s="18" t="s">
        <v>95</v>
      </c>
      <c r="F32" s="18" t="s">
        <v>96</v>
      </c>
      <c r="G32" s="4"/>
      <c r="H32" s="49" t="s">
        <v>97</v>
      </c>
      <c r="I32" s="10"/>
      <c r="J32" s="50" t="s">
        <v>98</v>
      </c>
      <c r="K32" s="10"/>
      <c r="L32" s="49" t="s">
        <v>99</v>
      </c>
      <c r="M32" s="10"/>
      <c r="N32" s="51" t="s">
        <v>100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25" t="str">
        <f t="array" ref="B33">IF(SMALL(GOALS!$I$6:$I$105,1)&gt;=999999,"",INDEX(GOALS!$A$6:$A$105,MATCH(SMALL(GOALS!$I$6:$I$105,1),GOALS!$I$6:$I$105,0)))</f>
        <v>Create a calmer home routine</v>
      </c>
      <c r="C33" s="25" t="str">
        <f t="array" ref="C33">IF(B33="","",INDEX(GOALS!$B$6:$B$105,MATCH(B33,GOALS!$A$6:$A$105,0)))</f>
        <v>Home</v>
      </c>
      <c r="D33" s="52">
        <f t="array" ref="D33">IF(B33="","",INDEX(GOALS!$D$6:$D$105,MATCH(B33,GOALS!$A$6:$A$105,0)))</f>
        <v>46387</v>
      </c>
      <c r="E33" s="53">
        <f t="array" ref="E33">IF(B33="","",INDEX(GOALS!$E$6:$E$105,MATCH(B33,GOALS!$A$6:$A$105,0)))</f>
        <v>0.45</v>
      </c>
      <c r="F33" s="25" t="str">
        <f t="array" ref="F33">IF(B33="","",INDEX(GOALS!$H$6:$H$105,MATCH(B33,GOALS!$A$6:$A$105,0)))</f>
        <v>Test Sunday reset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25" t="str">
        <f t="array" ref="B34">IF(SMALL(GOALS!$I$6:$I$105,2)&gt;=999999,"",INDEX(GOALS!$A$6:$A$105,MATCH(SMALL(GOALS!$I$6:$I$105,2),GOALS!$I$6:$I$105,0)))</f>
        <v>Read 12 books</v>
      </c>
      <c r="C34" s="25" t="str">
        <f t="array" ref="C34">IF(B34="","",INDEX(GOALS!$B$6:$B$105,MATCH(B34,GOALS!$A$6:$A$105,0)))</f>
        <v>Personal</v>
      </c>
      <c r="D34" s="52">
        <f t="array" ref="D34">IF(B34="","",INDEX(GOALS!$D$6:$D$105,MATCH(B34,GOALS!$A$6:$A$105,0)))</f>
        <v>46387</v>
      </c>
      <c r="E34" s="53">
        <f t="array" ref="E34">IF(B34="","",INDEX(GOALS!$E$6:$E$105,MATCH(B34,GOALS!$A$6:$A$105,0)))</f>
        <v>0.5</v>
      </c>
      <c r="F34" s="25" t="str">
        <f t="array" ref="F34">IF(B34="","",INDEX(GOALS!$H$6:$H$105,MATCH(B34,GOALS!$A$6:$A$105,0)))</f>
        <v>Choose next title</v>
      </c>
      <c r="G34" s="4"/>
      <c r="H34" s="49" t="s">
        <v>101</v>
      </c>
      <c r="I34" s="10"/>
      <c r="J34" s="50" t="s">
        <v>102</v>
      </c>
      <c r="K34" s="10"/>
      <c r="L34" s="49" t="s">
        <v>103</v>
      </c>
      <c r="M34" s="10"/>
      <c r="N34" s="51" t="s">
        <v>104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25" t="str">
        <f t="array" ref="B35">IF(SMALL(GOALS!$I$6:$I$105,3)&gt;=999999,"",INDEX(GOALS!$A$6:$A$105,MATCH(SMALL(GOALS!$I$6:$I$105,3),GOALS!$I$6:$I$105,0)))</f>
        <v>Build emergency fund</v>
      </c>
      <c r="C35" s="25" t="str">
        <f t="array" ref="C35">IF(B35="","",INDEX(GOALS!$B$6:$B$105,MATCH(B35,GOALS!$A$6:$A$105,0)))</f>
        <v>Money</v>
      </c>
      <c r="D35" s="52">
        <f t="array" ref="D35">IF(B35="","",INDEX(GOALS!$D$6:$D$105,MATCH(B35,GOALS!$A$6:$A$105,0)))</f>
        <v>46568</v>
      </c>
      <c r="E35" s="53">
        <f t="array" ref="E35">IF(B35="","",INDEX(GOALS!$E$6:$E$105,MATCH(B35,GOALS!$A$6:$A$105,0)))</f>
        <v>0.32</v>
      </c>
      <c r="F35" s="25" t="str">
        <f t="array" ref="F35">IF(B35="","",INDEX(GOALS!$H$6:$H$105,MATCH(B35,GOALS!$A$6:$A$105,0)))</f>
        <v>Transfer $200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25" t="str">
        <f t="array" ref="B36">IF(SMALL(GOALS!$I$6:$I$105,4)&gt;=999999,"",INDEX(GOALS!$A$6:$A$105,MATCH(SMALL(GOALS!$I$6:$I$105,4),GOALS!$I$6:$I$105,0)))</f>
        <v/>
      </c>
      <c r="C36" s="25" t="str">
        <f t="array" ref="C36">IF(B36="","",INDEX(GOALS!$B$6:$B$105,MATCH(B36,GOALS!$A$6:$A$105,0)))</f>
        <v/>
      </c>
      <c r="D36" s="52" t="str">
        <f t="array" ref="D36">IF(B36="","",INDEX(GOALS!$D$6:$D$105,MATCH(B36,GOALS!$A$6:$A$105,0)))</f>
        <v/>
      </c>
      <c r="E36" s="53" t="str">
        <f t="array" ref="E36">IF(B36="","",INDEX(GOALS!$E$6:$E$105,MATCH(B36,GOALS!$A$6:$A$105,0)))</f>
        <v/>
      </c>
      <c r="F36" s="25" t="str">
        <f t="array" ref="F36">IF(B36="","",INDEX(GOALS!$H$6:$H$105,MATCH(B36,GOALS!$A$6:$A$105,0)))</f>
        <v/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6">
    <mergeCell ref="A1:N2"/>
    <mergeCell ref="A3:N3"/>
    <mergeCell ref="B5:F5"/>
    <mergeCell ref="H5:I5"/>
    <mergeCell ref="E7:F7"/>
    <mergeCell ref="H7:I7"/>
    <mergeCell ref="K7:L7"/>
    <mergeCell ref="B7:C7"/>
    <mergeCell ref="B8:C10"/>
    <mergeCell ref="E8:F10"/>
    <mergeCell ref="H8:I10"/>
    <mergeCell ref="K8:L10"/>
    <mergeCell ref="B13:F13"/>
    <mergeCell ref="H13:L13"/>
    <mergeCell ref="J32:K32"/>
    <mergeCell ref="L32:M32"/>
    <mergeCell ref="H34:I34"/>
    <mergeCell ref="J34:K34"/>
    <mergeCell ref="L34:M34"/>
    <mergeCell ref="B22:F22"/>
    <mergeCell ref="H22:L22"/>
    <mergeCell ref="H26:L26"/>
    <mergeCell ref="H28:L28"/>
    <mergeCell ref="B31:F31"/>
    <mergeCell ref="H31:N31"/>
    <mergeCell ref="H32:I32"/>
  </mergeCells>
  <conditionalFormatting sqref="E15:E19">
    <cfRule type="expression" dxfId="5" priority="1">
      <formula>$E15="Urgent"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8" width="15.0"/>
    <col customWidth="1" min="9" max="9" width="4.0"/>
    <col customWidth="1" min="10" max="10" width="14.0"/>
    <col customWidth="1" min="11" max="11" width="24.0"/>
    <col customWidth="1" min="12" max="12" width="14.0"/>
    <col customWidth="1" min="13" max="13" width="12.0"/>
    <col customWidth="1" min="14" max="14" width="15.0"/>
    <col customWidth="1" min="15" max="15" width="22.0"/>
    <col customWidth="1" min="16" max="16" width="12.0"/>
    <col customWidth="1" min="17" max="26" width="8.88"/>
  </cols>
  <sheetData>
    <row r="1" ht="13.5" customHeight="1">
      <c r="A1" s="1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" t="s">
        <v>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4"/>
      <c r="B5" s="11" t="s">
        <v>19</v>
      </c>
      <c r="C5" s="20">
        <v>46266.0</v>
      </c>
      <c r="D5" s="4"/>
      <c r="E5" s="4"/>
      <c r="F5" s="4"/>
      <c r="G5" s="4"/>
      <c r="H5" s="4"/>
      <c r="I5" s="4"/>
      <c r="J5" s="14" t="s">
        <v>24</v>
      </c>
      <c r="K5" s="9"/>
      <c r="L5" s="9"/>
      <c r="M5" s="9"/>
      <c r="N5" s="9"/>
      <c r="O5" s="9"/>
      <c r="P5" s="10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4"/>
      <c r="B7" s="18" t="s">
        <v>25</v>
      </c>
      <c r="C7" s="18" t="s">
        <v>26</v>
      </c>
      <c r="D7" s="18" t="s">
        <v>27</v>
      </c>
      <c r="E7" s="18" t="s">
        <v>28</v>
      </c>
      <c r="F7" s="18" t="s">
        <v>29</v>
      </c>
      <c r="G7" s="18" t="s">
        <v>30</v>
      </c>
      <c r="H7" s="18" t="s">
        <v>31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4"/>
      <c r="B8" s="28">
        <f>DATE(YEAR($C$5),MONTH($C$5),1)-WEEKDAY(DATE(YEAR($C$5),MONTH($C$5),1),2)+1</f>
        <v>46265</v>
      </c>
      <c r="C8" s="28">
        <f t="shared" ref="C8:H8" si="1">B8+1</f>
        <v>46266</v>
      </c>
      <c r="D8" s="28">
        <f t="shared" si="1"/>
        <v>46267</v>
      </c>
      <c r="E8" s="28">
        <f t="shared" si="1"/>
        <v>46268</v>
      </c>
      <c r="F8" s="28">
        <f t="shared" si="1"/>
        <v>46269</v>
      </c>
      <c r="G8" s="28">
        <f t="shared" si="1"/>
        <v>46270</v>
      </c>
      <c r="H8" s="28">
        <f t="shared" si="1"/>
        <v>46271</v>
      </c>
      <c r="I8" s="4"/>
      <c r="J8" s="31" t="s">
        <v>39</v>
      </c>
      <c r="K8" s="31" t="s">
        <v>45</v>
      </c>
      <c r="L8" s="31" t="s">
        <v>47</v>
      </c>
      <c r="M8" s="31" t="s">
        <v>48</v>
      </c>
      <c r="N8" s="31" t="s">
        <v>50</v>
      </c>
      <c r="O8" s="31" t="s">
        <v>52</v>
      </c>
      <c r="P8" s="31" t="s">
        <v>56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55.5" customHeight="1">
      <c r="A9" s="4"/>
      <c r="B9" s="33" t="str">
        <f t="shared" ref="B9:H9" si="2">IFERROR(_xludf.TEXTJOIN(CHAR(10),TRUE,_xlws.FILTER($K$9:$K$208&amp;" • "&amp;$M$9:$M$208,$L$9:$L$208=B8)),"")</f>
        <v/>
      </c>
      <c r="C9" s="33" t="str">
        <f t="shared" si="2"/>
        <v/>
      </c>
      <c r="D9" s="33" t="str">
        <f t="shared" si="2"/>
        <v/>
      </c>
      <c r="E9" s="33" t="str">
        <f t="shared" si="2"/>
        <v/>
      </c>
      <c r="F9" s="33" t="str">
        <f t="shared" si="2"/>
        <v/>
      </c>
      <c r="G9" s="33" t="str">
        <f t="shared" si="2"/>
        <v/>
      </c>
      <c r="H9" s="33" t="str">
        <f t="shared" si="2"/>
        <v/>
      </c>
      <c r="I9" s="4"/>
      <c r="J9" s="35" t="s">
        <v>58</v>
      </c>
      <c r="K9" s="35" t="s">
        <v>59</v>
      </c>
      <c r="L9" s="37">
        <v>46283.0</v>
      </c>
      <c r="M9" s="35" t="s">
        <v>60</v>
      </c>
      <c r="N9" s="35" t="s">
        <v>61</v>
      </c>
      <c r="O9" s="35" t="s">
        <v>62</v>
      </c>
      <c r="P9" s="39">
        <f t="shared" ref="P9:P208" si="4">IF(OR(J9="",L9&lt;TODAY()),999999,L9-TODAY()+ROW()/100000)</f>
        <v>999999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4"/>
      <c r="B10" s="28">
        <f>H8+1</f>
        <v>46272</v>
      </c>
      <c r="C10" s="28">
        <f t="shared" ref="C10:H10" si="3">B10+1</f>
        <v>46273</v>
      </c>
      <c r="D10" s="28">
        <f t="shared" si="3"/>
        <v>46274</v>
      </c>
      <c r="E10" s="28">
        <f t="shared" si="3"/>
        <v>46275</v>
      </c>
      <c r="F10" s="28">
        <f t="shared" si="3"/>
        <v>46276</v>
      </c>
      <c r="G10" s="28">
        <f t="shared" si="3"/>
        <v>46277</v>
      </c>
      <c r="H10" s="28">
        <f t="shared" si="3"/>
        <v>46278</v>
      </c>
      <c r="I10" s="4"/>
      <c r="J10" s="35" t="s">
        <v>64</v>
      </c>
      <c r="K10" s="35" t="s">
        <v>66</v>
      </c>
      <c r="L10" s="37">
        <v>46287.0</v>
      </c>
      <c r="M10" s="35" t="s">
        <v>67</v>
      </c>
      <c r="N10" s="35" t="s">
        <v>68</v>
      </c>
      <c r="O10" s="35" t="s">
        <v>69</v>
      </c>
      <c r="P10" s="39">
        <f t="shared" si="4"/>
        <v>999999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5.5" customHeight="1">
      <c r="A11" s="4"/>
      <c r="B11" s="33" t="str">
        <f t="shared" ref="B11:H11" si="5">IFERROR(_xludf.TEXTJOIN(CHAR(10),TRUE,_xlws.FILTER($K$9:$K$208&amp;" • "&amp;$M$9:$M$208,$L$9:$L$208=B10)),"")</f>
        <v/>
      </c>
      <c r="C11" s="33" t="str">
        <f t="shared" si="5"/>
        <v/>
      </c>
      <c r="D11" s="33" t="str">
        <f t="shared" si="5"/>
        <v/>
      </c>
      <c r="E11" s="33" t="str">
        <f t="shared" si="5"/>
        <v/>
      </c>
      <c r="F11" s="33" t="str">
        <f t="shared" si="5"/>
        <v/>
      </c>
      <c r="G11" s="33" t="str">
        <f t="shared" si="5"/>
        <v/>
      </c>
      <c r="H11" s="33" t="str">
        <f t="shared" si="5"/>
        <v/>
      </c>
      <c r="I11" s="4"/>
      <c r="J11" s="35" t="s">
        <v>70</v>
      </c>
      <c r="K11" s="35" t="s">
        <v>71</v>
      </c>
      <c r="L11" s="37">
        <v>46289.0</v>
      </c>
      <c r="M11" s="35" t="s">
        <v>72</v>
      </c>
      <c r="N11" s="35" t="s">
        <v>70</v>
      </c>
      <c r="O11" s="35" t="s">
        <v>73</v>
      </c>
      <c r="P11" s="39">
        <f t="shared" si="4"/>
        <v>1.00011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28">
        <f>H10+1</f>
        <v>46279</v>
      </c>
      <c r="C12" s="28">
        <f t="shared" ref="C12:H12" si="6">B12+1</f>
        <v>46280</v>
      </c>
      <c r="D12" s="28">
        <f t="shared" si="6"/>
        <v>46281</v>
      </c>
      <c r="E12" s="28">
        <f t="shared" si="6"/>
        <v>46282</v>
      </c>
      <c r="F12" s="28">
        <f t="shared" si="6"/>
        <v>46283</v>
      </c>
      <c r="G12" s="28">
        <f t="shared" si="6"/>
        <v>46284</v>
      </c>
      <c r="H12" s="28">
        <f t="shared" si="6"/>
        <v>46285</v>
      </c>
      <c r="I12" s="4"/>
      <c r="J12" s="35" t="s">
        <v>74</v>
      </c>
      <c r="K12" s="35" t="s">
        <v>75</v>
      </c>
      <c r="L12" s="37">
        <v>46296.0</v>
      </c>
      <c r="M12" s="35" t="s">
        <v>60</v>
      </c>
      <c r="N12" s="35" t="s">
        <v>76</v>
      </c>
      <c r="O12" s="35" t="s">
        <v>62</v>
      </c>
      <c r="P12" s="39">
        <f t="shared" si="4"/>
        <v>8.00012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5.5" customHeight="1">
      <c r="A13" s="4"/>
      <c r="B13" s="33" t="str">
        <f t="shared" ref="B13:H13" si="7">IFERROR(_xludf.TEXTJOIN(CHAR(10),TRUE,_xlws.FILTER($K$9:$K$208&amp;" • "&amp;$M$9:$M$208,$L$9:$L$208=B12)),"")</f>
        <v/>
      </c>
      <c r="C13" s="33" t="str">
        <f t="shared" si="7"/>
        <v/>
      </c>
      <c r="D13" s="33" t="str">
        <f t="shared" si="7"/>
        <v/>
      </c>
      <c r="E13" s="33" t="str">
        <f t="shared" si="7"/>
        <v/>
      </c>
      <c r="F13" s="33" t="str">
        <f t="shared" si="7"/>
        <v/>
      </c>
      <c r="G13" s="33" t="str">
        <f t="shared" si="7"/>
        <v/>
      </c>
      <c r="H13" s="33" t="str">
        <f t="shared" si="7"/>
        <v/>
      </c>
      <c r="I13" s="4"/>
      <c r="J13" s="43" t="s">
        <v>78</v>
      </c>
      <c r="K13" s="35"/>
      <c r="L13" s="37"/>
      <c r="M13" s="35"/>
      <c r="N13" s="35"/>
      <c r="O13" s="35"/>
      <c r="P13" s="39">
        <f t="shared" si="4"/>
        <v>999999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/>
      <c r="B14" s="28">
        <f>H12+1</f>
        <v>46286</v>
      </c>
      <c r="C14" s="28">
        <f t="shared" ref="C14:H14" si="8">B14+1</f>
        <v>46287</v>
      </c>
      <c r="D14" s="28">
        <f t="shared" si="8"/>
        <v>46288</v>
      </c>
      <c r="E14" s="28">
        <f t="shared" si="8"/>
        <v>46289</v>
      </c>
      <c r="F14" s="28">
        <f t="shared" si="8"/>
        <v>46290</v>
      </c>
      <c r="G14" s="28">
        <f t="shared" si="8"/>
        <v>46291</v>
      </c>
      <c r="H14" s="28">
        <f t="shared" si="8"/>
        <v>46292</v>
      </c>
      <c r="I14" s="4"/>
      <c r="J14" s="35"/>
      <c r="K14" s="35"/>
      <c r="L14" s="37"/>
      <c r="M14" s="35"/>
      <c r="N14" s="35"/>
      <c r="O14" s="35"/>
      <c r="P14" s="39">
        <f t="shared" si="4"/>
        <v>999999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5.5" customHeight="1">
      <c r="A15" s="4"/>
      <c r="B15" s="33" t="str">
        <f t="shared" ref="B15:H15" si="9">IFERROR(_xludf.TEXTJOIN(CHAR(10),TRUE,_xlws.FILTER($K$9:$K$208&amp;" • "&amp;$M$9:$M$208,$L$9:$L$208=B14)),"")</f>
        <v/>
      </c>
      <c r="C15" s="33" t="str">
        <f t="shared" si="9"/>
        <v/>
      </c>
      <c r="D15" s="33" t="str">
        <f t="shared" si="9"/>
        <v/>
      </c>
      <c r="E15" s="33" t="str">
        <f t="shared" si="9"/>
        <v/>
      </c>
      <c r="F15" s="33" t="str">
        <f t="shared" si="9"/>
        <v/>
      </c>
      <c r="G15" s="33" t="str">
        <f t="shared" si="9"/>
        <v/>
      </c>
      <c r="H15" s="33" t="str">
        <f t="shared" si="9"/>
        <v/>
      </c>
      <c r="I15" s="4"/>
      <c r="J15" s="35"/>
      <c r="K15" s="35"/>
      <c r="L15" s="37"/>
      <c r="M15" s="35"/>
      <c r="N15" s="35"/>
      <c r="O15" s="35"/>
      <c r="P15" s="39">
        <f t="shared" si="4"/>
        <v>999999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28">
        <f>H14+1</f>
        <v>46293</v>
      </c>
      <c r="C16" s="28">
        <f t="shared" ref="C16:H16" si="10">B16+1</f>
        <v>46294</v>
      </c>
      <c r="D16" s="28">
        <f t="shared" si="10"/>
        <v>46295</v>
      </c>
      <c r="E16" s="28">
        <f t="shared" si="10"/>
        <v>46296</v>
      </c>
      <c r="F16" s="28">
        <f t="shared" si="10"/>
        <v>46297</v>
      </c>
      <c r="G16" s="28">
        <f t="shared" si="10"/>
        <v>46298</v>
      </c>
      <c r="H16" s="28">
        <f t="shared" si="10"/>
        <v>46299</v>
      </c>
      <c r="I16" s="4"/>
      <c r="J16" s="35"/>
      <c r="K16" s="35"/>
      <c r="L16" s="37"/>
      <c r="M16" s="35"/>
      <c r="N16" s="35"/>
      <c r="O16" s="35"/>
      <c r="P16" s="39">
        <f t="shared" si="4"/>
        <v>999999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5.5" customHeight="1">
      <c r="A17" s="4"/>
      <c r="B17" s="33" t="str">
        <f t="shared" ref="B17:H17" si="11">IFERROR(_xludf.TEXTJOIN(CHAR(10),TRUE,_xlws.FILTER($K$9:$K$208&amp;" • "&amp;$M$9:$M$208,$L$9:$L$208=B16)),"")</f>
        <v/>
      </c>
      <c r="C17" s="33" t="str">
        <f t="shared" si="11"/>
        <v/>
      </c>
      <c r="D17" s="33" t="str">
        <f t="shared" si="11"/>
        <v/>
      </c>
      <c r="E17" s="33" t="str">
        <f t="shared" si="11"/>
        <v/>
      </c>
      <c r="F17" s="33" t="str">
        <f t="shared" si="11"/>
        <v/>
      </c>
      <c r="G17" s="33" t="str">
        <f t="shared" si="11"/>
        <v/>
      </c>
      <c r="H17" s="33" t="str">
        <f t="shared" si="11"/>
        <v/>
      </c>
      <c r="I17" s="4"/>
      <c r="J17" s="35"/>
      <c r="K17" s="35"/>
      <c r="L17" s="37"/>
      <c r="M17" s="35"/>
      <c r="N17" s="35"/>
      <c r="O17" s="35"/>
      <c r="P17" s="39">
        <f t="shared" si="4"/>
        <v>999999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28">
        <f>H16+1</f>
        <v>46300</v>
      </c>
      <c r="C18" s="28">
        <f t="shared" ref="C18:H18" si="12">B18+1</f>
        <v>46301</v>
      </c>
      <c r="D18" s="28">
        <f t="shared" si="12"/>
        <v>46302</v>
      </c>
      <c r="E18" s="28">
        <f t="shared" si="12"/>
        <v>46303</v>
      </c>
      <c r="F18" s="28">
        <f t="shared" si="12"/>
        <v>46304</v>
      </c>
      <c r="G18" s="28">
        <f t="shared" si="12"/>
        <v>46305</v>
      </c>
      <c r="H18" s="28">
        <f t="shared" si="12"/>
        <v>46306</v>
      </c>
      <c r="I18" s="4"/>
      <c r="J18" s="35"/>
      <c r="K18" s="35"/>
      <c r="L18" s="37"/>
      <c r="M18" s="35"/>
      <c r="N18" s="35"/>
      <c r="O18" s="35"/>
      <c r="P18" s="39">
        <f t="shared" si="4"/>
        <v>999999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5.5" customHeight="1">
      <c r="A19" s="4"/>
      <c r="B19" s="33" t="str">
        <f t="shared" ref="B19:H19" si="13">IFERROR(_xludf.TEXTJOIN(CHAR(10),TRUE,_xlws.FILTER($K$9:$K$208&amp;" • "&amp;$M$9:$M$208,$L$9:$L$208=B18)),"")</f>
        <v/>
      </c>
      <c r="C19" s="33" t="str">
        <f t="shared" si="13"/>
        <v/>
      </c>
      <c r="D19" s="33" t="str">
        <f t="shared" si="13"/>
        <v/>
      </c>
      <c r="E19" s="33" t="str">
        <f t="shared" si="13"/>
        <v/>
      </c>
      <c r="F19" s="33" t="str">
        <f t="shared" si="13"/>
        <v/>
      </c>
      <c r="G19" s="33" t="str">
        <f t="shared" si="13"/>
        <v/>
      </c>
      <c r="H19" s="33" t="str">
        <f t="shared" si="13"/>
        <v/>
      </c>
      <c r="I19" s="4"/>
      <c r="J19" s="35"/>
      <c r="K19" s="35"/>
      <c r="L19" s="37"/>
      <c r="M19" s="35"/>
      <c r="N19" s="35"/>
      <c r="O19" s="35"/>
      <c r="P19" s="39">
        <f t="shared" si="4"/>
        <v>999999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35"/>
      <c r="K20" s="35"/>
      <c r="L20" s="37"/>
      <c r="M20" s="35"/>
      <c r="N20" s="35"/>
      <c r="O20" s="35"/>
      <c r="P20" s="39">
        <f t="shared" si="4"/>
        <v>999999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35"/>
      <c r="K21" s="35"/>
      <c r="L21" s="37"/>
      <c r="M21" s="35"/>
      <c r="N21" s="35"/>
      <c r="O21" s="35"/>
      <c r="P21" s="39">
        <f t="shared" si="4"/>
        <v>999999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35"/>
      <c r="K22" s="35"/>
      <c r="L22" s="37"/>
      <c r="M22" s="35"/>
      <c r="N22" s="35"/>
      <c r="O22" s="35"/>
      <c r="P22" s="39">
        <f t="shared" si="4"/>
        <v>999999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35"/>
      <c r="K23" s="35"/>
      <c r="L23" s="37"/>
      <c r="M23" s="35"/>
      <c r="N23" s="35"/>
      <c r="O23" s="35"/>
      <c r="P23" s="39">
        <f t="shared" si="4"/>
        <v>999999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35"/>
      <c r="K24" s="35"/>
      <c r="L24" s="37"/>
      <c r="M24" s="35"/>
      <c r="N24" s="35"/>
      <c r="O24" s="35"/>
      <c r="P24" s="39">
        <f t="shared" si="4"/>
        <v>999999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35"/>
      <c r="K25" s="35"/>
      <c r="L25" s="37"/>
      <c r="M25" s="35"/>
      <c r="N25" s="35"/>
      <c r="O25" s="35"/>
      <c r="P25" s="39">
        <f t="shared" si="4"/>
        <v>999999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35"/>
      <c r="K26" s="35"/>
      <c r="L26" s="37"/>
      <c r="M26" s="35"/>
      <c r="N26" s="35"/>
      <c r="O26" s="35"/>
      <c r="P26" s="39">
        <f t="shared" si="4"/>
        <v>999999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35"/>
      <c r="K27" s="35"/>
      <c r="L27" s="37"/>
      <c r="M27" s="35"/>
      <c r="N27" s="35"/>
      <c r="O27" s="35"/>
      <c r="P27" s="39">
        <f t="shared" si="4"/>
        <v>999999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35"/>
      <c r="K28" s="35"/>
      <c r="L28" s="37"/>
      <c r="M28" s="35"/>
      <c r="N28" s="35"/>
      <c r="O28" s="35"/>
      <c r="P28" s="39">
        <f t="shared" si="4"/>
        <v>999999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35"/>
      <c r="K29" s="35"/>
      <c r="L29" s="37"/>
      <c r="M29" s="35"/>
      <c r="N29" s="35"/>
      <c r="O29" s="35"/>
      <c r="P29" s="39">
        <f t="shared" si="4"/>
        <v>999999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35"/>
      <c r="K30" s="35"/>
      <c r="L30" s="37"/>
      <c r="M30" s="35"/>
      <c r="N30" s="35"/>
      <c r="O30" s="35"/>
      <c r="P30" s="39">
        <f t="shared" si="4"/>
        <v>999999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35"/>
      <c r="K31" s="35"/>
      <c r="L31" s="37"/>
      <c r="M31" s="35"/>
      <c r="N31" s="35"/>
      <c r="O31" s="35"/>
      <c r="P31" s="39">
        <f t="shared" si="4"/>
        <v>999999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35"/>
      <c r="K32" s="35"/>
      <c r="L32" s="37"/>
      <c r="M32" s="35"/>
      <c r="N32" s="35"/>
      <c r="O32" s="35"/>
      <c r="P32" s="39">
        <f t="shared" si="4"/>
        <v>999999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35"/>
      <c r="K33" s="35"/>
      <c r="L33" s="37"/>
      <c r="M33" s="35"/>
      <c r="N33" s="35"/>
      <c r="O33" s="35"/>
      <c r="P33" s="39">
        <f t="shared" si="4"/>
        <v>999999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35"/>
      <c r="K34" s="35"/>
      <c r="L34" s="37"/>
      <c r="M34" s="35"/>
      <c r="N34" s="35"/>
      <c r="O34" s="35"/>
      <c r="P34" s="39">
        <f t="shared" si="4"/>
        <v>999999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35"/>
      <c r="K35" s="35"/>
      <c r="L35" s="37"/>
      <c r="M35" s="35"/>
      <c r="N35" s="35"/>
      <c r="O35" s="35"/>
      <c r="P35" s="39">
        <f t="shared" si="4"/>
        <v>999999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35"/>
      <c r="K36" s="35"/>
      <c r="L36" s="37"/>
      <c r="M36" s="35"/>
      <c r="N36" s="35"/>
      <c r="O36" s="35"/>
      <c r="P36" s="39">
        <f t="shared" si="4"/>
        <v>999999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35"/>
      <c r="K37" s="35"/>
      <c r="L37" s="37"/>
      <c r="M37" s="35"/>
      <c r="N37" s="35"/>
      <c r="O37" s="35"/>
      <c r="P37" s="39">
        <f t="shared" si="4"/>
        <v>999999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35"/>
      <c r="K38" s="35"/>
      <c r="L38" s="37"/>
      <c r="M38" s="35"/>
      <c r="N38" s="35"/>
      <c r="O38" s="35"/>
      <c r="P38" s="39">
        <f t="shared" si="4"/>
        <v>999999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35"/>
      <c r="K39" s="35"/>
      <c r="L39" s="37"/>
      <c r="M39" s="35"/>
      <c r="N39" s="35"/>
      <c r="O39" s="35"/>
      <c r="P39" s="39">
        <f t="shared" si="4"/>
        <v>999999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35"/>
      <c r="K40" s="35"/>
      <c r="L40" s="37"/>
      <c r="M40" s="35"/>
      <c r="N40" s="35"/>
      <c r="O40" s="35"/>
      <c r="P40" s="39">
        <f t="shared" si="4"/>
        <v>999999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35"/>
      <c r="K41" s="35"/>
      <c r="L41" s="37"/>
      <c r="M41" s="35"/>
      <c r="N41" s="35"/>
      <c r="O41" s="35"/>
      <c r="P41" s="39">
        <f t="shared" si="4"/>
        <v>999999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35"/>
      <c r="K42" s="35"/>
      <c r="L42" s="37"/>
      <c r="M42" s="35"/>
      <c r="N42" s="35"/>
      <c r="O42" s="35"/>
      <c r="P42" s="39">
        <f t="shared" si="4"/>
        <v>999999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35"/>
      <c r="K43" s="35"/>
      <c r="L43" s="37"/>
      <c r="M43" s="35"/>
      <c r="N43" s="35"/>
      <c r="O43" s="35"/>
      <c r="P43" s="39">
        <f t="shared" si="4"/>
        <v>999999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35"/>
      <c r="K44" s="35"/>
      <c r="L44" s="37"/>
      <c r="M44" s="35"/>
      <c r="N44" s="35"/>
      <c r="O44" s="35"/>
      <c r="P44" s="39">
        <f t="shared" si="4"/>
        <v>999999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35"/>
      <c r="K45" s="35"/>
      <c r="L45" s="37"/>
      <c r="M45" s="35"/>
      <c r="N45" s="35"/>
      <c r="O45" s="35"/>
      <c r="P45" s="39">
        <f t="shared" si="4"/>
        <v>999999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35"/>
      <c r="K46" s="35"/>
      <c r="L46" s="37"/>
      <c r="M46" s="35"/>
      <c r="N46" s="35"/>
      <c r="O46" s="35"/>
      <c r="P46" s="39">
        <f t="shared" si="4"/>
        <v>999999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35"/>
      <c r="K47" s="35"/>
      <c r="L47" s="37"/>
      <c r="M47" s="35"/>
      <c r="N47" s="35"/>
      <c r="O47" s="35"/>
      <c r="P47" s="39">
        <f t="shared" si="4"/>
        <v>999999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35"/>
      <c r="K48" s="35"/>
      <c r="L48" s="37"/>
      <c r="M48" s="35"/>
      <c r="N48" s="35"/>
      <c r="O48" s="35"/>
      <c r="P48" s="39">
        <f t="shared" si="4"/>
        <v>999999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35"/>
      <c r="K49" s="35"/>
      <c r="L49" s="37"/>
      <c r="M49" s="35"/>
      <c r="N49" s="35"/>
      <c r="O49" s="35"/>
      <c r="P49" s="39">
        <f t="shared" si="4"/>
        <v>999999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35"/>
      <c r="K50" s="35"/>
      <c r="L50" s="37"/>
      <c r="M50" s="35"/>
      <c r="N50" s="35"/>
      <c r="O50" s="35"/>
      <c r="P50" s="39">
        <f t="shared" si="4"/>
        <v>999999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35"/>
      <c r="K51" s="35"/>
      <c r="L51" s="37"/>
      <c r="M51" s="35"/>
      <c r="N51" s="35"/>
      <c r="O51" s="35"/>
      <c r="P51" s="39">
        <f t="shared" si="4"/>
        <v>999999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35"/>
      <c r="K52" s="35"/>
      <c r="L52" s="37"/>
      <c r="M52" s="35"/>
      <c r="N52" s="35"/>
      <c r="O52" s="35"/>
      <c r="P52" s="39">
        <f t="shared" si="4"/>
        <v>999999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35"/>
      <c r="K53" s="35"/>
      <c r="L53" s="37"/>
      <c r="M53" s="35"/>
      <c r="N53" s="35"/>
      <c r="O53" s="35"/>
      <c r="P53" s="39">
        <f t="shared" si="4"/>
        <v>999999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35"/>
      <c r="K54" s="35"/>
      <c r="L54" s="37"/>
      <c r="M54" s="35"/>
      <c r="N54" s="35"/>
      <c r="O54" s="35"/>
      <c r="P54" s="39">
        <f t="shared" si="4"/>
        <v>999999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35"/>
      <c r="K55" s="35"/>
      <c r="L55" s="37"/>
      <c r="M55" s="35"/>
      <c r="N55" s="35"/>
      <c r="O55" s="35"/>
      <c r="P55" s="39">
        <f t="shared" si="4"/>
        <v>999999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35"/>
      <c r="K56" s="35"/>
      <c r="L56" s="37"/>
      <c r="M56" s="35"/>
      <c r="N56" s="35"/>
      <c r="O56" s="35"/>
      <c r="P56" s="39">
        <f t="shared" si="4"/>
        <v>999999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35"/>
      <c r="K57" s="35"/>
      <c r="L57" s="37"/>
      <c r="M57" s="35"/>
      <c r="N57" s="35"/>
      <c r="O57" s="35"/>
      <c r="P57" s="39">
        <f t="shared" si="4"/>
        <v>999999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35"/>
      <c r="K58" s="35"/>
      <c r="L58" s="37"/>
      <c r="M58" s="35"/>
      <c r="N58" s="35"/>
      <c r="O58" s="35"/>
      <c r="P58" s="39">
        <f t="shared" si="4"/>
        <v>999999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35"/>
      <c r="K59" s="35"/>
      <c r="L59" s="37"/>
      <c r="M59" s="35"/>
      <c r="N59" s="35"/>
      <c r="O59" s="35"/>
      <c r="P59" s="39">
        <f t="shared" si="4"/>
        <v>999999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35"/>
      <c r="K60" s="35"/>
      <c r="L60" s="37"/>
      <c r="M60" s="35"/>
      <c r="N60" s="35"/>
      <c r="O60" s="35"/>
      <c r="P60" s="39">
        <f t="shared" si="4"/>
        <v>999999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35"/>
      <c r="K61" s="35"/>
      <c r="L61" s="37"/>
      <c r="M61" s="35"/>
      <c r="N61" s="35"/>
      <c r="O61" s="35"/>
      <c r="P61" s="39">
        <f t="shared" si="4"/>
        <v>999999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35"/>
      <c r="K62" s="35"/>
      <c r="L62" s="37"/>
      <c r="M62" s="35"/>
      <c r="N62" s="35"/>
      <c r="O62" s="35"/>
      <c r="P62" s="39">
        <f t="shared" si="4"/>
        <v>999999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35"/>
      <c r="K63" s="35"/>
      <c r="L63" s="37"/>
      <c r="M63" s="35"/>
      <c r="N63" s="35"/>
      <c r="O63" s="35"/>
      <c r="P63" s="39">
        <f t="shared" si="4"/>
        <v>999999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35"/>
      <c r="K64" s="35"/>
      <c r="L64" s="37"/>
      <c r="M64" s="35"/>
      <c r="N64" s="35"/>
      <c r="O64" s="35"/>
      <c r="P64" s="39">
        <f t="shared" si="4"/>
        <v>999999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35"/>
      <c r="K65" s="35"/>
      <c r="L65" s="37"/>
      <c r="M65" s="35"/>
      <c r="N65" s="35"/>
      <c r="O65" s="35"/>
      <c r="P65" s="39">
        <f t="shared" si="4"/>
        <v>999999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35"/>
      <c r="K66" s="35"/>
      <c r="L66" s="37"/>
      <c r="M66" s="35"/>
      <c r="N66" s="35"/>
      <c r="O66" s="35"/>
      <c r="P66" s="39">
        <f t="shared" si="4"/>
        <v>999999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35"/>
      <c r="K67" s="35"/>
      <c r="L67" s="37"/>
      <c r="M67" s="35"/>
      <c r="N67" s="35"/>
      <c r="O67" s="35"/>
      <c r="P67" s="39">
        <f t="shared" si="4"/>
        <v>999999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35"/>
      <c r="K68" s="35"/>
      <c r="L68" s="37"/>
      <c r="M68" s="35"/>
      <c r="N68" s="35"/>
      <c r="O68" s="35"/>
      <c r="P68" s="39">
        <f t="shared" si="4"/>
        <v>999999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35"/>
      <c r="K69" s="35"/>
      <c r="L69" s="37"/>
      <c r="M69" s="35"/>
      <c r="N69" s="35"/>
      <c r="O69" s="35"/>
      <c r="P69" s="39">
        <f t="shared" si="4"/>
        <v>999999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35"/>
      <c r="K70" s="35"/>
      <c r="L70" s="37"/>
      <c r="M70" s="35"/>
      <c r="N70" s="35"/>
      <c r="O70" s="35"/>
      <c r="P70" s="39">
        <f t="shared" si="4"/>
        <v>999999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35"/>
      <c r="K71" s="35"/>
      <c r="L71" s="37"/>
      <c r="M71" s="35"/>
      <c r="N71" s="35"/>
      <c r="O71" s="35"/>
      <c r="P71" s="39">
        <f t="shared" si="4"/>
        <v>999999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35"/>
      <c r="K72" s="35"/>
      <c r="L72" s="37"/>
      <c r="M72" s="35"/>
      <c r="N72" s="35"/>
      <c r="O72" s="35"/>
      <c r="P72" s="39">
        <f t="shared" si="4"/>
        <v>999999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35"/>
      <c r="K73" s="35"/>
      <c r="L73" s="37"/>
      <c r="M73" s="35"/>
      <c r="N73" s="35"/>
      <c r="O73" s="35"/>
      <c r="P73" s="39">
        <f t="shared" si="4"/>
        <v>999999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35"/>
      <c r="K74" s="35"/>
      <c r="L74" s="37"/>
      <c r="M74" s="35"/>
      <c r="N74" s="35"/>
      <c r="O74" s="35"/>
      <c r="P74" s="39">
        <f t="shared" si="4"/>
        <v>999999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35"/>
      <c r="K75" s="35"/>
      <c r="L75" s="37"/>
      <c r="M75" s="35"/>
      <c r="N75" s="35"/>
      <c r="O75" s="35"/>
      <c r="P75" s="39">
        <f t="shared" si="4"/>
        <v>999999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35"/>
      <c r="K76" s="35"/>
      <c r="L76" s="37"/>
      <c r="M76" s="35"/>
      <c r="N76" s="35"/>
      <c r="O76" s="35"/>
      <c r="P76" s="39">
        <f t="shared" si="4"/>
        <v>999999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35"/>
      <c r="K77" s="35"/>
      <c r="L77" s="37"/>
      <c r="M77" s="35"/>
      <c r="N77" s="35"/>
      <c r="O77" s="35"/>
      <c r="P77" s="39">
        <f t="shared" si="4"/>
        <v>999999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35"/>
      <c r="K78" s="35"/>
      <c r="L78" s="37"/>
      <c r="M78" s="35"/>
      <c r="N78" s="35"/>
      <c r="O78" s="35"/>
      <c r="P78" s="39">
        <f t="shared" si="4"/>
        <v>999999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35"/>
      <c r="K79" s="35"/>
      <c r="L79" s="37"/>
      <c r="M79" s="35"/>
      <c r="N79" s="35"/>
      <c r="O79" s="35"/>
      <c r="P79" s="39">
        <f t="shared" si="4"/>
        <v>999999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35"/>
      <c r="K80" s="35"/>
      <c r="L80" s="37"/>
      <c r="M80" s="35"/>
      <c r="N80" s="35"/>
      <c r="O80" s="35"/>
      <c r="P80" s="39">
        <f t="shared" si="4"/>
        <v>999999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35"/>
      <c r="K81" s="35"/>
      <c r="L81" s="37"/>
      <c r="M81" s="35"/>
      <c r="N81" s="35"/>
      <c r="O81" s="35"/>
      <c r="P81" s="39">
        <f t="shared" si="4"/>
        <v>999999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35"/>
      <c r="K82" s="35"/>
      <c r="L82" s="37"/>
      <c r="M82" s="35"/>
      <c r="N82" s="35"/>
      <c r="O82" s="35"/>
      <c r="P82" s="39">
        <f t="shared" si="4"/>
        <v>999999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35"/>
      <c r="K83" s="35"/>
      <c r="L83" s="37"/>
      <c r="M83" s="35"/>
      <c r="N83" s="35"/>
      <c r="O83" s="35"/>
      <c r="P83" s="39">
        <f t="shared" si="4"/>
        <v>999999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35"/>
      <c r="K84" s="35"/>
      <c r="L84" s="37"/>
      <c r="M84" s="35"/>
      <c r="N84" s="35"/>
      <c r="O84" s="35"/>
      <c r="P84" s="39">
        <f t="shared" si="4"/>
        <v>999999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35"/>
      <c r="K85" s="35"/>
      <c r="L85" s="37"/>
      <c r="M85" s="35"/>
      <c r="N85" s="35"/>
      <c r="O85" s="35"/>
      <c r="P85" s="39">
        <f t="shared" si="4"/>
        <v>999999</v>
      </c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35"/>
      <c r="K86" s="35"/>
      <c r="L86" s="37"/>
      <c r="M86" s="35"/>
      <c r="N86" s="35"/>
      <c r="O86" s="35"/>
      <c r="P86" s="39">
        <f t="shared" si="4"/>
        <v>999999</v>
      </c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35"/>
      <c r="K87" s="35"/>
      <c r="L87" s="37"/>
      <c r="M87" s="35"/>
      <c r="N87" s="35"/>
      <c r="O87" s="35"/>
      <c r="P87" s="39">
        <f t="shared" si="4"/>
        <v>999999</v>
      </c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35"/>
      <c r="K88" s="35"/>
      <c r="L88" s="37"/>
      <c r="M88" s="35"/>
      <c r="N88" s="35"/>
      <c r="O88" s="35"/>
      <c r="P88" s="39">
        <f t="shared" si="4"/>
        <v>999999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35"/>
      <c r="K89" s="35"/>
      <c r="L89" s="37"/>
      <c r="M89" s="35"/>
      <c r="N89" s="35"/>
      <c r="O89" s="35"/>
      <c r="P89" s="39">
        <f t="shared" si="4"/>
        <v>999999</v>
      </c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35"/>
      <c r="K90" s="35"/>
      <c r="L90" s="37"/>
      <c r="M90" s="35"/>
      <c r="N90" s="35"/>
      <c r="O90" s="35"/>
      <c r="P90" s="39">
        <f t="shared" si="4"/>
        <v>999999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35"/>
      <c r="K91" s="35"/>
      <c r="L91" s="37"/>
      <c r="M91" s="35"/>
      <c r="N91" s="35"/>
      <c r="O91" s="35"/>
      <c r="P91" s="39">
        <f t="shared" si="4"/>
        <v>999999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35"/>
      <c r="K92" s="35"/>
      <c r="L92" s="37"/>
      <c r="M92" s="35"/>
      <c r="N92" s="35"/>
      <c r="O92" s="35"/>
      <c r="P92" s="39">
        <f t="shared" si="4"/>
        <v>999999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35"/>
      <c r="K93" s="35"/>
      <c r="L93" s="37"/>
      <c r="M93" s="35"/>
      <c r="N93" s="35"/>
      <c r="O93" s="35"/>
      <c r="P93" s="39">
        <f t="shared" si="4"/>
        <v>999999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35"/>
      <c r="K94" s="35"/>
      <c r="L94" s="37"/>
      <c r="M94" s="35"/>
      <c r="N94" s="35"/>
      <c r="O94" s="35"/>
      <c r="P94" s="39">
        <f t="shared" si="4"/>
        <v>999999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35"/>
      <c r="K95" s="35"/>
      <c r="L95" s="37"/>
      <c r="M95" s="35"/>
      <c r="N95" s="35"/>
      <c r="O95" s="35"/>
      <c r="P95" s="39">
        <f t="shared" si="4"/>
        <v>999999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35"/>
      <c r="K96" s="35"/>
      <c r="L96" s="37"/>
      <c r="M96" s="35"/>
      <c r="N96" s="35"/>
      <c r="O96" s="35"/>
      <c r="P96" s="39">
        <f t="shared" si="4"/>
        <v>999999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35"/>
      <c r="K97" s="35"/>
      <c r="L97" s="37"/>
      <c r="M97" s="35"/>
      <c r="N97" s="35"/>
      <c r="O97" s="35"/>
      <c r="P97" s="39">
        <f t="shared" si="4"/>
        <v>999999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35"/>
      <c r="K98" s="35"/>
      <c r="L98" s="37"/>
      <c r="M98" s="35"/>
      <c r="N98" s="35"/>
      <c r="O98" s="35"/>
      <c r="P98" s="39">
        <f t="shared" si="4"/>
        <v>999999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35"/>
      <c r="K99" s="35"/>
      <c r="L99" s="37"/>
      <c r="M99" s="35"/>
      <c r="N99" s="35"/>
      <c r="O99" s="35"/>
      <c r="P99" s="39">
        <f t="shared" si="4"/>
        <v>999999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35"/>
      <c r="K100" s="35"/>
      <c r="L100" s="37"/>
      <c r="M100" s="35"/>
      <c r="N100" s="35"/>
      <c r="O100" s="35"/>
      <c r="P100" s="39">
        <f t="shared" si="4"/>
        <v>999999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35"/>
      <c r="K101" s="35"/>
      <c r="L101" s="37"/>
      <c r="M101" s="35"/>
      <c r="N101" s="35"/>
      <c r="O101" s="35"/>
      <c r="P101" s="39">
        <f t="shared" si="4"/>
        <v>999999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35"/>
      <c r="K102" s="35"/>
      <c r="L102" s="37"/>
      <c r="M102" s="35"/>
      <c r="N102" s="35"/>
      <c r="O102" s="35"/>
      <c r="P102" s="39">
        <f t="shared" si="4"/>
        <v>999999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35"/>
      <c r="K103" s="35"/>
      <c r="L103" s="37"/>
      <c r="M103" s="35"/>
      <c r="N103" s="35"/>
      <c r="O103" s="35"/>
      <c r="P103" s="39">
        <f t="shared" si="4"/>
        <v>999999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35"/>
      <c r="K104" s="35"/>
      <c r="L104" s="37"/>
      <c r="M104" s="35"/>
      <c r="N104" s="35"/>
      <c r="O104" s="35"/>
      <c r="P104" s="39">
        <f t="shared" si="4"/>
        <v>999999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35"/>
      <c r="K105" s="35"/>
      <c r="L105" s="37"/>
      <c r="M105" s="35"/>
      <c r="N105" s="35"/>
      <c r="O105" s="35"/>
      <c r="P105" s="39">
        <f t="shared" si="4"/>
        <v>999999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35"/>
      <c r="K106" s="35"/>
      <c r="L106" s="37"/>
      <c r="M106" s="35"/>
      <c r="N106" s="35"/>
      <c r="O106" s="35"/>
      <c r="P106" s="39">
        <f t="shared" si="4"/>
        <v>999999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35"/>
      <c r="K107" s="35"/>
      <c r="L107" s="37"/>
      <c r="M107" s="35"/>
      <c r="N107" s="35"/>
      <c r="O107" s="35"/>
      <c r="P107" s="39">
        <f t="shared" si="4"/>
        <v>999999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35"/>
      <c r="K108" s="35"/>
      <c r="L108" s="37"/>
      <c r="M108" s="35"/>
      <c r="N108" s="35"/>
      <c r="O108" s="35"/>
      <c r="P108" s="39">
        <f t="shared" si="4"/>
        <v>999999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35"/>
      <c r="K109" s="35"/>
      <c r="L109" s="37"/>
      <c r="M109" s="35"/>
      <c r="N109" s="35"/>
      <c r="O109" s="35"/>
      <c r="P109" s="39">
        <f t="shared" si="4"/>
        <v>999999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35"/>
      <c r="K110" s="35"/>
      <c r="L110" s="37"/>
      <c r="M110" s="35"/>
      <c r="N110" s="35"/>
      <c r="O110" s="35"/>
      <c r="P110" s="39">
        <f t="shared" si="4"/>
        <v>999999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35"/>
      <c r="K111" s="35"/>
      <c r="L111" s="37"/>
      <c r="M111" s="35"/>
      <c r="N111" s="35"/>
      <c r="O111" s="35"/>
      <c r="P111" s="39">
        <f t="shared" si="4"/>
        <v>999999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35"/>
      <c r="K112" s="35"/>
      <c r="L112" s="37"/>
      <c r="M112" s="35"/>
      <c r="N112" s="35"/>
      <c r="O112" s="35"/>
      <c r="P112" s="39">
        <f t="shared" si="4"/>
        <v>999999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35"/>
      <c r="K113" s="35"/>
      <c r="L113" s="37"/>
      <c r="M113" s="35"/>
      <c r="N113" s="35"/>
      <c r="O113" s="35"/>
      <c r="P113" s="39">
        <f t="shared" si="4"/>
        <v>999999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35"/>
      <c r="K114" s="35"/>
      <c r="L114" s="37"/>
      <c r="M114" s="35"/>
      <c r="N114" s="35"/>
      <c r="O114" s="35"/>
      <c r="P114" s="39">
        <f t="shared" si="4"/>
        <v>999999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35"/>
      <c r="K115" s="35"/>
      <c r="L115" s="37"/>
      <c r="M115" s="35"/>
      <c r="N115" s="35"/>
      <c r="O115" s="35"/>
      <c r="P115" s="39">
        <f t="shared" si="4"/>
        <v>999999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35"/>
      <c r="K116" s="35"/>
      <c r="L116" s="37"/>
      <c r="M116" s="35"/>
      <c r="N116" s="35"/>
      <c r="O116" s="35"/>
      <c r="P116" s="39">
        <f t="shared" si="4"/>
        <v>999999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35"/>
      <c r="K117" s="35"/>
      <c r="L117" s="37"/>
      <c r="M117" s="35"/>
      <c r="N117" s="35"/>
      <c r="O117" s="35"/>
      <c r="P117" s="39">
        <f t="shared" si="4"/>
        <v>999999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35"/>
      <c r="K118" s="35"/>
      <c r="L118" s="37"/>
      <c r="M118" s="35"/>
      <c r="N118" s="35"/>
      <c r="O118" s="35"/>
      <c r="P118" s="39">
        <f t="shared" si="4"/>
        <v>999999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35"/>
      <c r="K119" s="35"/>
      <c r="L119" s="37"/>
      <c r="M119" s="35"/>
      <c r="N119" s="35"/>
      <c r="O119" s="35"/>
      <c r="P119" s="39">
        <f t="shared" si="4"/>
        <v>999999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35"/>
      <c r="K120" s="35"/>
      <c r="L120" s="37"/>
      <c r="M120" s="35"/>
      <c r="N120" s="35"/>
      <c r="O120" s="35"/>
      <c r="P120" s="39">
        <f t="shared" si="4"/>
        <v>999999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35"/>
      <c r="K121" s="35"/>
      <c r="L121" s="37"/>
      <c r="M121" s="35"/>
      <c r="N121" s="35"/>
      <c r="O121" s="35"/>
      <c r="P121" s="39">
        <f t="shared" si="4"/>
        <v>999999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35"/>
      <c r="K122" s="35"/>
      <c r="L122" s="37"/>
      <c r="M122" s="35"/>
      <c r="N122" s="35"/>
      <c r="O122" s="35"/>
      <c r="P122" s="39">
        <f t="shared" si="4"/>
        <v>999999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35"/>
      <c r="K123" s="35"/>
      <c r="L123" s="37"/>
      <c r="M123" s="35"/>
      <c r="N123" s="35"/>
      <c r="O123" s="35"/>
      <c r="P123" s="39">
        <f t="shared" si="4"/>
        <v>999999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35"/>
      <c r="K124" s="35"/>
      <c r="L124" s="37"/>
      <c r="M124" s="35"/>
      <c r="N124" s="35"/>
      <c r="O124" s="35"/>
      <c r="P124" s="39">
        <f t="shared" si="4"/>
        <v>999999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35"/>
      <c r="K125" s="35"/>
      <c r="L125" s="37"/>
      <c r="M125" s="35"/>
      <c r="N125" s="35"/>
      <c r="O125" s="35"/>
      <c r="P125" s="39">
        <f t="shared" si="4"/>
        <v>999999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35"/>
      <c r="K126" s="35"/>
      <c r="L126" s="37"/>
      <c r="M126" s="35"/>
      <c r="N126" s="35"/>
      <c r="O126" s="35"/>
      <c r="P126" s="39">
        <f t="shared" si="4"/>
        <v>999999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35"/>
      <c r="K127" s="35"/>
      <c r="L127" s="37"/>
      <c r="M127" s="35"/>
      <c r="N127" s="35"/>
      <c r="O127" s="35"/>
      <c r="P127" s="39">
        <f t="shared" si="4"/>
        <v>999999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35"/>
      <c r="K128" s="35"/>
      <c r="L128" s="37"/>
      <c r="M128" s="35"/>
      <c r="N128" s="35"/>
      <c r="O128" s="35"/>
      <c r="P128" s="39">
        <f t="shared" si="4"/>
        <v>999999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35"/>
      <c r="K129" s="35"/>
      <c r="L129" s="37"/>
      <c r="M129" s="35"/>
      <c r="N129" s="35"/>
      <c r="O129" s="35"/>
      <c r="P129" s="39">
        <f t="shared" si="4"/>
        <v>999999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35"/>
      <c r="K130" s="35"/>
      <c r="L130" s="37"/>
      <c r="M130" s="35"/>
      <c r="N130" s="35"/>
      <c r="O130" s="35"/>
      <c r="P130" s="39">
        <f t="shared" si="4"/>
        <v>999999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35"/>
      <c r="K131" s="35"/>
      <c r="L131" s="37"/>
      <c r="M131" s="35"/>
      <c r="N131" s="35"/>
      <c r="O131" s="35"/>
      <c r="P131" s="39">
        <f t="shared" si="4"/>
        <v>999999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35"/>
      <c r="K132" s="35"/>
      <c r="L132" s="37"/>
      <c r="M132" s="35"/>
      <c r="N132" s="35"/>
      <c r="O132" s="35"/>
      <c r="P132" s="39">
        <f t="shared" si="4"/>
        <v>999999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35"/>
      <c r="K133" s="35"/>
      <c r="L133" s="37"/>
      <c r="M133" s="35"/>
      <c r="N133" s="35"/>
      <c r="O133" s="35"/>
      <c r="P133" s="39">
        <f t="shared" si="4"/>
        <v>999999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35"/>
      <c r="K134" s="35"/>
      <c r="L134" s="37"/>
      <c r="M134" s="35"/>
      <c r="N134" s="35"/>
      <c r="O134" s="35"/>
      <c r="P134" s="39">
        <f t="shared" si="4"/>
        <v>999999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35"/>
      <c r="K135" s="35"/>
      <c r="L135" s="37"/>
      <c r="M135" s="35"/>
      <c r="N135" s="35"/>
      <c r="O135" s="35"/>
      <c r="P135" s="39">
        <f t="shared" si="4"/>
        <v>999999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35"/>
      <c r="K136" s="35"/>
      <c r="L136" s="37"/>
      <c r="M136" s="35"/>
      <c r="N136" s="35"/>
      <c r="O136" s="35"/>
      <c r="P136" s="39">
        <f t="shared" si="4"/>
        <v>999999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35"/>
      <c r="K137" s="35"/>
      <c r="L137" s="37"/>
      <c r="M137" s="35"/>
      <c r="N137" s="35"/>
      <c r="O137" s="35"/>
      <c r="P137" s="39">
        <f t="shared" si="4"/>
        <v>999999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35"/>
      <c r="K138" s="35"/>
      <c r="L138" s="37"/>
      <c r="M138" s="35"/>
      <c r="N138" s="35"/>
      <c r="O138" s="35"/>
      <c r="P138" s="39">
        <f t="shared" si="4"/>
        <v>999999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35"/>
      <c r="K139" s="35"/>
      <c r="L139" s="37"/>
      <c r="M139" s="35"/>
      <c r="N139" s="35"/>
      <c r="O139" s="35"/>
      <c r="P139" s="39">
        <f t="shared" si="4"/>
        <v>999999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35"/>
      <c r="K140" s="35"/>
      <c r="L140" s="37"/>
      <c r="M140" s="35"/>
      <c r="N140" s="35"/>
      <c r="O140" s="35"/>
      <c r="P140" s="39">
        <f t="shared" si="4"/>
        <v>999999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35"/>
      <c r="K141" s="35"/>
      <c r="L141" s="37"/>
      <c r="M141" s="35"/>
      <c r="N141" s="35"/>
      <c r="O141" s="35"/>
      <c r="P141" s="39">
        <f t="shared" si="4"/>
        <v>999999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35"/>
      <c r="K142" s="35"/>
      <c r="L142" s="37"/>
      <c r="M142" s="35"/>
      <c r="N142" s="35"/>
      <c r="O142" s="35"/>
      <c r="P142" s="39">
        <f t="shared" si="4"/>
        <v>999999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35"/>
      <c r="K143" s="35"/>
      <c r="L143" s="37"/>
      <c r="M143" s="35"/>
      <c r="N143" s="35"/>
      <c r="O143" s="35"/>
      <c r="P143" s="39">
        <f t="shared" si="4"/>
        <v>999999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35"/>
      <c r="K144" s="35"/>
      <c r="L144" s="37"/>
      <c r="M144" s="35"/>
      <c r="N144" s="35"/>
      <c r="O144" s="35"/>
      <c r="P144" s="39">
        <f t="shared" si="4"/>
        <v>999999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35"/>
      <c r="K145" s="35"/>
      <c r="L145" s="37"/>
      <c r="M145" s="35"/>
      <c r="N145" s="35"/>
      <c r="O145" s="35"/>
      <c r="P145" s="39">
        <f t="shared" si="4"/>
        <v>999999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35"/>
      <c r="K146" s="35"/>
      <c r="L146" s="37"/>
      <c r="M146" s="35"/>
      <c r="N146" s="35"/>
      <c r="O146" s="35"/>
      <c r="P146" s="39">
        <f t="shared" si="4"/>
        <v>999999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35"/>
      <c r="K147" s="35"/>
      <c r="L147" s="37"/>
      <c r="M147" s="35"/>
      <c r="N147" s="35"/>
      <c r="O147" s="35"/>
      <c r="P147" s="39">
        <f t="shared" si="4"/>
        <v>999999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35"/>
      <c r="K148" s="35"/>
      <c r="L148" s="37"/>
      <c r="M148" s="35"/>
      <c r="N148" s="35"/>
      <c r="O148" s="35"/>
      <c r="P148" s="39">
        <f t="shared" si="4"/>
        <v>999999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35"/>
      <c r="K149" s="35"/>
      <c r="L149" s="37"/>
      <c r="M149" s="35"/>
      <c r="N149" s="35"/>
      <c r="O149" s="35"/>
      <c r="P149" s="39">
        <f t="shared" si="4"/>
        <v>999999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35"/>
      <c r="K150" s="35"/>
      <c r="L150" s="37"/>
      <c r="M150" s="35"/>
      <c r="N150" s="35"/>
      <c r="O150" s="35"/>
      <c r="P150" s="39">
        <f t="shared" si="4"/>
        <v>999999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35"/>
      <c r="K151" s="35"/>
      <c r="L151" s="37"/>
      <c r="M151" s="35"/>
      <c r="N151" s="35"/>
      <c r="O151" s="35"/>
      <c r="P151" s="39">
        <f t="shared" si="4"/>
        <v>999999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35"/>
      <c r="K152" s="35"/>
      <c r="L152" s="37"/>
      <c r="M152" s="35"/>
      <c r="N152" s="35"/>
      <c r="O152" s="35"/>
      <c r="P152" s="39">
        <f t="shared" si="4"/>
        <v>999999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35"/>
      <c r="K153" s="35"/>
      <c r="L153" s="37"/>
      <c r="M153" s="35"/>
      <c r="N153" s="35"/>
      <c r="O153" s="35"/>
      <c r="P153" s="39">
        <f t="shared" si="4"/>
        <v>999999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35"/>
      <c r="K154" s="35"/>
      <c r="L154" s="37"/>
      <c r="M154" s="35"/>
      <c r="N154" s="35"/>
      <c r="O154" s="35"/>
      <c r="P154" s="39">
        <f t="shared" si="4"/>
        <v>999999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35"/>
      <c r="K155" s="35"/>
      <c r="L155" s="37"/>
      <c r="M155" s="35"/>
      <c r="N155" s="35"/>
      <c r="O155" s="35"/>
      <c r="P155" s="39">
        <f t="shared" si="4"/>
        <v>999999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35"/>
      <c r="K156" s="35"/>
      <c r="L156" s="37"/>
      <c r="M156" s="35"/>
      <c r="N156" s="35"/>
      <c r="O156" s="35"/>
      <c r="P156" s="39">
        <f t="shared" si="4"/>
        <v>999999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35"/>
      <c r="K157" s="35"/>
      <c r="L157" s="37"/>
      <c r="M157" s="35"/>
      <c r="N157" s="35"/>
      <c r="O157" s="35"/>
      <c r="P157" s="39">
        <f t="shared" si="4"/>
        <v>999999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35"/>
      <c r="K158" s="35"/>
      <c r="L158" s="37"/>
      <c r="M158" s="35"/>
      <c r="N158" s="35"/>
      <c r="O158" s="35"/>
      <c r="P158" s="39">
        <f t="shared" si="4"/>
        <v>999999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35"/>
      <c r="K159" s="35"/>
      <c r="L159" s="37"/>
      <c r="M159" s="35"/>
      <c r="N159" s="35"/>
      <c r="O159" s="35"/>
      <c r="P159" s="39">
        <f t="shared" si="4"/>
        <v>999999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35"/>
      <c r="K160" s="35"/>
      <c r="L160" s="37"/>
      <c r="M160" s="35"/>
      <c r="N160" s="35"/>
      <c r="O160" s="35"/>
      <c r="P160" s="39">
        <f t="shared" si="4"/>
        <v>999999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35"/>
      <c r="K161" s="35"/>
      <c r="L161" s="37"/>
      <c r="M161" s="35"/>
      <c r="N161" s="35"/>
      <c r="O161" s="35"/>
      <c r="P161" s="39">
        <f t="shared" si="4"/>
        <v>999999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35"/>
      <c r="K162" s="35"/>
      <c r="L162" s="37"/>
      <c r="M162" s="35"/>
      <c r="N162" s="35"/>
      <c r="O162" s="35"/>
      <c r="P162" s="39">
        <f t="shared" si="4"/>
        <v>999999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35"/>
      <c r="K163" s="35"/>
      <c r="L163" s="37"/>
      <c r="M163" s="35"/>
      <c r="N163" s="35"/>
      <c r="O163" s="35"/>
      <c r="P163" s="39">
        <f t="shared" si="4"/>
        <v>999999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35"/>
      <c r="K164" s="35"/>
      <c r="L164" s="37"/>
      <c r="M164" s="35"/>
      <c r="N164" s="35"/>
      <c r="O164" s="35"/>
      <c r="P164" s="39">
        <f t="shared" si="4"/>
        <v>999999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35"/>
      <c r="K165" s="35"/>
      <c r="L165" s="37"/>
      <c r="M165" s="35"/>
      <c r="N165" s="35"/>
      <c r="O165" s="35"/>
      <c r="P165" s="39">
        <f t="shared" si="4"/>
        <v>999999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35"/>
      <c r="K166" s="35"/>
      <c r="L166" s="37"/>
      <c r="M166" s="35"/>
      <c r="N166" s="35"/>
      <c r="O166" s="35"/>
      <c r="P166" s="39">
        <f t="shared" si="4"/>
        <v>999999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35"/>
      <c r="K167" s="35"/>
      <c r="L167" s="37"/>
      <c r="M167" s="35"/>
      <c r="N167" s="35"/>
      <c r="O167" s="35"/>
      <c r="P167" s="39">
        <f t="shared" si="4"/>
        <v>999999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35"/>
      <c r="K168" s="35"/>
      <c r="L168" s="37"/>
      <c r="M168" s="35"/>
      <c r="N168" s="35"/>
      <c r="O168" s="35"/>
      <c r="P168" s="39">
        <f t="shared" si="4"/>
        <v>999999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35"/>
      <c r="K169" s="35"/>
      <c r="L169" s="37"/>
      <c r="M169" s="35"/>
      <c r="N169" s="35"/>
      <c r="O169" s="35"/>
      <c r="P169" s="39">
        <f t="shared" si="4"/>
        <v>999999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35"/>
      <c r="K170" s="35"/>
      <c r="L170" s="37"/>
      <c r="M170" s="35"/>
      <c r="N170" s="35"/>
      <c r="O170" s="35"/>
      <c r="P170" s="39">
        <f t="shared" si="4"/>
        <v>999999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35"/>
      <c r="K171" s="35"/>
      <c r="L171" s="37"/>
      <c r="M171" s="35"/>
      <c r="N171" s="35"/>
      <c r="O171" s="35"/>
      <c r="P171" s="39">
        <f t="shared" si="4"/>
        <v>999999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35"/>
      <c r="K172" s="35"/>
      <c r="L172" s="37"/>
      <c r="M172" s="35"/>
      <c r="N172" s="35"/>
      <c r="O172" s="35"/>
      <c r="P172" s="39">
        <f t="shared" si="4"/>
        <v>999999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35"/>
      <c r="K173" s="35"/>
      <c r="L173" s="37"/>
      <c r="M173" s="35"/>
      <c r="N173" s="35"/>
      <c r="O173" s="35"/>
      <c r="P173" s="39">
        <f t="shared" si="4"/>
        <v>999999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35"/>
      <c r="K174" s="35"/>
      <c r="L174" s="37"/>
      <c r="M174" s="35"/>
      <c r="N174" s="35"/>
      <c r="O174" s="35"/>
      <c r="P174" s="39">
        <f t="shared" si="4"/>
        <v>999999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35"/>
      <c r="K175" s="35"/>
      <c r="L175" s="37"/>
      <c r="M175" s="35"/>
      <c r="N175" s="35"/>
      <c r="O175" s="35"/>
      <c r="P175" s="39">
        <f t="shared" si="4"/>
        <v>999999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35"/>
      <c r="K176" s="35"/>
      <c r="L176" s="37"/>
      <c r="M176" s="35"/>
      <c r="N176" s="35"/>
      <c r="O176" s="35"/>
      <c r="P176" s="39">
        <f t="shared" si="4"/>
        <v>999999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35"/>
      <c r="K177" s="35"/>
      <c r="L177" s="37"/>
      <c r="M177" s="35"/>
      <c r="N177" s="35"/>
      <c r="O177" s="35"/>
      <c r="P177" s="39">
        <f t="shared" si="4"/>
        <v>999999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35"/>
      <c r="K178" s="35"/>
      <c r="L178" s="37"/>
      <c r="M178" s="35"/>
      <c r="N178" s="35"/>
      <c r="O178" s="35"/>
      <c r="P178" s="39">
        <f t="shared" si="4"/>
        <v>999999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35"/>
      <c r="K179" s="35"/>
      <c r="L179" s="37"/>
      <c r="M179" s="35"/>
      <c r="N179" s="35"/>
      <c r="O179" s="35"/>
      <c r="P179" s="39">
        <f t="shared" si="4"/>
        <v>999999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35"/>
      <c r="K180" s="35"/>
      <c r="L180" s="37"/>
      <c r="M180" s="35"/>
      <c r="N180" s="35"/>
      <c r="O180" s="35"/>
      <c r="P180" s="39">
        <f t="shared" si="4"/>
        <v>999999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35"/>
      <c r="K181" s="35"/>
      <c r="L181" s="37"/>
      <c r="M181" s="35"/>
      <c r="N181" s="35"/>
      <c r="O181" s="35"/>
      <c r="P181" s="39">
        <f t="shared" si="4"/>
        <v>999999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35"/>
      <c r="K182" s="35"/>
      <c r="L182" s="37"/>
      <c r="M182" s="35"/>
      <c r="N182" s="35"/>
      <c r="O182" s="35"/>
      <c r="P182" s="39">
        <f t="shared" si="4"/>
        <v>999999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35"/>
      <c r="K183" s="35"/>
      <c r="L183" s="37"/>
      <c r="M183" s="35"/>
      <c r="N183" s="35"/>
      <c r="O183" s="35"/>
      <c r="P183" s="39">
        <f t="shared" si="4"/>
        <v>999999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35"/>
      <c r="K184" s="35"/>
      <c r="L184" s="37"/>
      <c r="M184" s="35"/>
      <c r="N184" s="35"/>
      <c r="O184" s="35"/>
      <c r="P184" s="39">
        <f t="shared" si="4"/>
        <v>999999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35"/>
      <c r="K185" s="35"/>
      <c r="L185" s="37"/>
      <c r="M185" s="35"/>
      <c r="N185" s="35"/>
      <c r="O185" s="35"/>
      <c r="P185" s="39">
        <f t="shared" si="4"/>
        <v>999999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35"/>
      <c r="K186" s="35"/>
      <c r="L186" s="37"/>
      <c r="M186" s="35"/>
      <c r="N186" s="35"/>
      <c r="O186" s="35"/>
      <c r="P186" s="39">
        <f t="shared" si="4"/>
        <v>999999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35"/>
      <c r="K187" s="35"/>
      <c r="L187" s="37"/>
      <c r="M187" s="35"/>
      <c r="N187" s="35"/>
      <c r="O187" s="35"/>
      <c r="P187" s="39">
        <f t="shared" si="4"/>
        <v>999999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35"/>
      <c r="K188" s="35"/>
      <c r="L188" s="37"/>
      <c r="M188" s="35"/>
      <c r="N188" s="35"/>
      <c r="O188" s="35"/>
      <c r="P188" s="39">
        <f t="shared" si="4"/>
        <v>999999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35"/>
      <c r="K189" s="35"/>
      <c r="L189" s="37"/>
      <c r="M189" s="35"/>
      <c r="N189" s="35"/>
      <c r="O189" s="35"/>
      <c r="P189" s="39">
        <f t="shared" si="4"/>
        <v>999999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35"/>
      <c r="K190" s="35"/>
      <c r="L190" s="37"/>
      <c r="M190" s="35"/>
      <c r="N190" s="35"/>
      <c r="O190" s="35"/>
      <c r="P190" s="39">
        <f t="shared" si="4"/>
        <v>999999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35"/>
      <c r="K191" s="35"/>
      <c r="L191" s="37"/>
      <c r="M191" s="35"/>
      <c r="N191" s="35"/>
      <c r="O191" s="35"/>
      <c r="P191" s="39">
        <f t="shared" si="4"/>
        <v>999999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35"/>
      <c r="K192" s="35"/>
      <c r="L192" s="37"/>
      <c r="M192" s="35"/>
      <c r="N192" s="35"/>
      <c r="O192" s="35"/>
      <c r="P192" s="39">
        <f t="shared" si="4"/>
        <v>999999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35"/>
      <c r="K193" s="35"/>
      <c r="L193" s="37"/>
      <c r="M193" s="35"/>
      <c r="N193" s="35"/>
      <c r="O193" s="35"/>
      <c r="P193" s="39">
        <f t="shared" si="4"/>
        <v>999999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35"/>
      <c r="K194" s="35"/>
      <c r="L194" s="37"/>
      <c r="M194" s="35"/>
      <c r="N194" s="35"/>
      <c r="O194" s="35"/>
      <c r="P194" s="39">
        <f t="shared" si="4"/>
        <v>999999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35"/>
      <c r="K195" s="35"/>
      <c r="L195" s="37"/>
      <c r="M195" s="35"/>
      <c r="N195" s="35"/>
      <c r="O195" s="35"/>
      <c r="P195" s="39">
        <f t="shared" si="4"/>
        <v>999999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35"/>
      <c r="K196" s="35"/>
      <c r="L196" s="37"/>
      <c r="M196" s="35"/>
      <c r="N196" s="35"/>
      <c r="O196" s="35"/>
      <c r="P196" s="39">
        <f t="shared" si="4"/>
        <v>999999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35"/>
      <c r="K197" s="35"/>
      <c r="L197" s="37"/>
      <c r="M197" s="35"/>
      <c r="N197" s="35"/>
      <c r="O197" s="35"/>
      <c r="P197" s="39">
        <f t="shared" si="4"/>
        <v>999999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35"/>
      <c r="K198" s="35"/>
      <c r="L198" s="37"/>
      <c r="M198" s="35"/>
      <c r="N198" s="35"/>
      <c r="O198" s="35"/>
      <c r="P198" s="39">
        <f t="shared" si="4"/>
        <v>999999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35"/>
      <c r="K199" s="35"/>
      <c r="L199" s="37"/>
      <c r="M199" s="35"/>
      <c r="N199" s="35"/>
      <c r="O199" s="35"/>
      <c r="P199" s="39">
        <f t="shared" si="4"/>
        <v>999999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35"/>
      <c r="K200" s="35"/>
      <c r="L200" s="37"/>
      <c r="M200" s="35"/>
      <c r="N200" s="35"/>
      <c r="O200" s="35"/>
      <c r="P200" s="39">
        <f t="shared" si="4"/>
        <v>999999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35"/>
      <c r="K201" s="35"/>
      <c r="L201" s="37"/>
      <c r="M201" s="35"/>
      <c r="N201" s="35"/>
      <c r="O201" s="35"/>
      <c r="P201" s="39">
        <f t="shared" si="4"/>
        <v>999999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35"/>
      <c r="K202" s="35"/>
      <c r="L202" s="37"/>
      <c r="M202" s="35"/>
      <c r="N202" s="35"/>
      <c r="O202" s="35"/>
      <c r="P202" s="39">
        <f t="shared" si="4"/>
        <v>999999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35"/>
      <c r="K203" s="35"/>
      <c r="L203" s="37"/>
      <c r="M203" s="35"/>
      <c r="N203" s="35"/>
      <c r="O203" s="35"/>
      <c r="P203" s="39">
        <f t="shared" si="4"/>
        <v>999999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35"/>
      <c r="K204" s="35"/>
      <c r="L204" s="37"/>
      <c r="M204" s="35"/>
      <c r="N204" s="35"/>
      <c r="O204" s="35"/>
      <c r="P204" s="39">
        <f t="shared" si="4"/>
        <v>999999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35"/>
      <c r="K205" s="35"/>
      <c r="L205" s="37"/>
      <c r="M205" s="35"/>
      <c r="N205" s="35"/>
      <c r="O205" s="35"/>
      <c r="P205" s="39">
        <f t="shared" si="4"/>
        <v>999999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35"/>
      <c r="K206" s="35"/>
      <c r="L206" s="37"/>
      <c r="M206" s="35"/>
      <c r="N206" s="35"/>
      <c r="O206" s="35"/>
      <c r="P206" s="39">
        <f t="shared" si="4"/>
        <v>999999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35"/>
      <c r="K207" s="35"/>
      <c r="L207" s="37"/>
      <c r="M207" s="35"/>
      <c r="N207" s="35"/>
      <c r="O207" s="35"/>
      <c r="P207" s="39">
        <f t="shared" si="4"/>
        <v>999999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35"/>
      <c r="K208" s="35"/>
      <c r="L208" s="37"/>
      <c r="M208" s="35"/>
      <c r="N208" s="35"/>
      <c r="O208" s="35"/>
      <c r="P208" s="39">
        <f t="shared" si="4"/>
        <v>999999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">
    <mergeCell ref="A1:P2"/>
    <mergeCell ref="A3:P3"/>
    <mergeCell ref="J5:P5"/>
  </mergeCells>
  <conditionalFormatting sqref="B8:H19">
    <cfRule type="expression" dxfId="7" priority="1">
      <formula>MONTH(B8)&lt;&gt;MONTH($C$5)</formula>
    </cfRule>
  </conditionalFormatting>
  <dataValidations>
    <dataValidation type="list" allowBlank="1" sqref="N9:N208">
      <formula1>SETTINGS!$D$6:$D$12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8" width="18.0"/>
    <col customWidth="1" min="9" max="9" width="4.0"/>
    <col customWidth="1" min="10" max="10" width="24.0"/>
    <col customWidth="1" min="11" max="12" width="14.0"/>
    <col customWidth="1" min="13" max="13" width="18.0"/>
    <col customWidth="1" min="14" max="14" width="22.0"/>
    <col customWidth="1" min="15" max="26" width="8.88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" t="s">
        <v>6</v>
      </c>
      <c r="B5" s="13">
        <v>46279.0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4" t="s">
        <v>9</v>
      </c>
      <c r="B7" s="9"/>
      <c r="C7" s="9"/>
      <c r="D7" s="9"/>
      <c r="E7" s="9"/>
      <c r="F7" s="9"/>
      <c r="G7" s="9"/>
      <c r="H7" s="10"/>
      <c r="I7" s="4"/>
      <c r="J7" s="14" t="s">
        <v>10</v>
      </c>
      <c r="K7" s="9"/>
      <c r="L7" s="9"/>
      <c r="M7" s="9"/>
      <c r="N7" s="10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6" t="s">
        <v>12</v>
      </c>
      <c r="B8" s="17"/>
      <c r="C8" s="9"/>
      <c r="D8" s="9"/>
      <c r="E8" s="9"/>
      <c r="F8" s="9"/>
      <c r="G8" s="9"/>
      <c r="H8" s="10"/>
      <c r="I8" s="4"/>
      <c r="J8" s="18" t="s">
        <v>13</v>
      </c>
      <c r="K8" s="18" t="s">
        <v>15</v>
      </c>
      <c r="L8" s="18" t="s">
        <v>16</v>
      </c>
      <c r="M8" s="18" t="s">
        <v>17</v>
      </c>
      <c r="N8" s="18" t="s">
        <v>18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6" t="s">
        <v>21</v>
      </c>
      <c r="I9" s="4"/>
      <c r="J9" s="25" t="str">
        <f t="array" ref="J9">IF(SMALL(TASKS!$K$6:$K$205,1)&gt;=999999,"",INDEX(TASKS!$A$6:$A$205,MATCH(SMALL(TASKS!$K$6:$K$205,1),TASKS!$K$6:$K$205,0)))</f>
        <v>Pay electric bill</v>
      </c>
      <c r="K9" s="25" t="str">
        <f t="array" ref="K9">IF(J9="","",INDEX(TASKS!$B$6:$B$205,MATCH(J9,TASKS!$A$6:$A$205,0)))</f>
        <v>Money</v>
      </c>
      <c r="L9" s="29">
        <f t="array" ref="L9">IF(J9="","",INDEX(TASKS!$E$6:$E$205,MATCH(J9,TASKS!$A$6:$A$205,0)))</f>
        <v>46281</v>
      </c>
      <c r="M9" s="25" t="str">
        <f t="array" ref="M9">IF(J9="","",INDEX(TASKS!$C$6:$C$205,MATCH(J9,TASKS!$A$6:$A$205,0)))</f>
        <v>Urgent</v>
      </c>
      <c r="N9" s="25" t="str">
        <f t="array" ref="N9">IF(J9="","",INDEX(TASKS!$F$6:$F$205,MATCH(J9,TASKS!$A$6:$A$205,0)))</f>
        <v>Not Started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6" t="s">
        <v>37</v>
      </c>
      <c r="B10" s="17"/>
      <c r="C10" s="9"/>
      <c r="D10" s="9"/>
      <c r="E10" s="9"/>
      <c r="F10" s="9"/>
      <c r="G10" s="9"/>
      <c r="H10" s="10"/>
      <c r="I10" s="4"/>
      <c r="J10" s="25" t="str">
        <f t="array" ref="J10">IF(SMALL(TASKS!$K$6:$K$205,2)&gt;=999999,"",INDEX(TASKS!$A$6:$A$205,MATCH(SMALL(TASKS!$K$6:$K$205,2),TASKS!$K$6:$K$205,0)))</f>
        <v>Plan meals for the week</v>
      </c>
      <c r="K10" s="25" t="str">
        <f t="array" ref="K10">IF(J10="","",INDEX(TASKS!$B$6:$B$205,MATCH(J10,TASKS!$A$6:$A$205,0)))</f>
        <v>Home</v>
      </c>
      <c r="L10" s="29">
        <f t="array" ref="L10">IF(J10="","",INDEX(TASKS!$E$6:$E$205,MATCH(J10,TASKS!$A$6:$A$205,0)))</f>
        <v>46279</v>
      </c>
      <c r="M10" s="25" t="str">
        <f t="array" ref="M10">IF(J10="","",INDEX(TASKS!$C$6:$C$205,MATCH(J10,TASKS!$A$6:$A$205,0)))</f>
        <v>High</v>
      </c>
      <c r="N10" s="25" t="str">
        <f t="array" ref="N10">IF(J10="","",INDEX(TASKS!$F$6:$F$205,MATCH(J10,TASKS!$A$6:$A$205,0)))</f>
        <v>Not Started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/>
      <c r="B11" s="4"/>
      <c r="C11" s="4"/>
      <c r="D11" s="4"/>
      <c r="E11" s="4"/>
      <c r="F11" s="4"/>
      <c r="G11" s="4"/>
      <c r="H11" s="4"/>
      <c r="I11" s="4"/>
      <c r="J11" s="25" t="str">
        <f t="array" ref="J11">IF(SMALL(TASKS!$K$6:$K$205,3)&gt;=999999,"",INDEX(TASKS!$A$6:$A$205,MATCH(SMALL(TASKS!$K$6:$K$205,3),TASKS!$K$6:$K$205,0)))</f>
        <v>Grocery shopping</v>
      </c>
      <c r="K11" s="25" t="str">
        <f t="array" ref="K11">IF(J11="","",INDEX(TASKS!$B$6:$B$205,MATCH(J11,TASKS!$A$6:$A$205,0)))</f>
        <v>Home</v>
      </c>
      <c r="L11" s="29">
        <f t="array" ref="L11">IF(J11="","",INDEX(TASKS!$E$6:$E$205,MATCH(J11,TASKS!$A$6:$A$205,0)))</f>
        <v>46283</v>
      </c>
      <c r="M11" s="25" t="str">
        <f t="array" ref="M11">IF(J11="","",INDEX(TASKS!$C$6:$C$205,MATCH(J11,TASKS!$A$6:$A$205,0)))</f>
        <v>High</v>
      </c>
      <c r="N11" s="25" t="str">
        <f t="array" ref="N11">IF(J11="","",INDEX(TASKS!$F$6:$F$205,MATCH(J11,TASKS!$A$6:$A$205,0)))</f>
        <v>Not Started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4"/>
      <c r="C12" s="4"/>
      <c r="D12" s="4"/>
      <c r="E12" s="4"/>
      <c r="F12" s="4"/>
      <c r="G12" s="4"/>
      <c r="H12" s="4"/>
      <c r="I12" s="4"/>
      <c r="J12" s="25" t="str">
        <f t="array" ref="J12">IF(SMALL(TASKS!$K$6:$K$205,4)&gt;=999999,"",INDEX(TASKS!$A$6:$A$205,MATCH(SMALL(TASKS!$K$6:$K$205,4),TASKS!$K$6:$K$205,0)))</f>
        <v>Workout 30 minutes</v>
      </c>
      <c r="K12" s="25" t="str">
        <f t="array" ref="K12">IF(J12="","",INDEX(TASKS!$B$6:$B$205,MATCH(J12,TASKS!$A$6:$A$205,0)))</f>
        <v>Health</v>
      </c>
      <c r="L12" s="29">
        <f t="array" ref="L12">IF(J12="","",INDEX(TASKS!$E$6:$E$205,MATCH(J12,TASKS!$A$6:$A$205,0)))</f>
        <v>46280</v>
      </c>
      <c r="M12" s="25" t="str">
        <f t="array" ref="M12">IF(J12="","",INDEX(TASKS!$C$6:$C$205,MATCH(J12,TASKS!$A$6:$A$205,0)))</f>
        <v>Medium</v>
      </c>
      <c r="N12" s="25" t="str">
        <f t="array" ref="N12">IF(J12="","",INDEX(TASKS!$F$6:$F$205,MATCH(J12,TASKS!$A$6:$A$205,0)))</f>
        <v>In Progress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4" t="s">
        <v>65</v>
      </c>
      <c r="B13" s="9"/>
      <c r="C13" s="9"/>
      <c r="D13" s="9"/>
      <c r="E13" s="9"/>
      <c r="F13" s="9"/>
      <c r="G13" s="9"/>
      <c r="H13" s="10"/>
      <c r="I13" s="4"/>
      <c r="J13" s="25" t="str">
        <f t="array" ref="J13">IF(SMALL(TASKS!$K$6:$K$205,5)&gt;=999999,"",INDEX(TASKS!$A$6:$A$205,MATCH(SMALL(TASKS!$K$6:$K$205,5),TASKS!$K$6:$K$205,0)))</f>
        <v>Organize bedroom</v>
      </c>
      <c r="K13" s="25" t="str">
        <f t="array" ref="K13">IF(J13="","",INDEX(TASKS!$B$6:$B$205,MATCH(J13,TASKS!$A$6:$A$205,0)))</f>
        <v>Home</v>
      </c>
      <c r="L13" s="29">
        <f t="array" ref="L13">IF(J13="","",INDEX(TASKS!$E$6:$E$205,MATCH(J13,TASKS!$A$6:$A$205,0)))</f>
        <v>46282</v>
      </c>
      <c r="M13" s="25" t="str">
        <f t="array" ref="M13">IF(J13="","",INDEX(TASKS!$C$6:$C$205,MATCH(J13,TASKS!$A$6:$A$205,0)))</f>
        <v>Low</v>
      </c>
      <c r="N13" s="25" t="str">
        <f t="array" ref="N13">IF(J13="","",INDEX(TASKS!$F$6:$F$205,MATCH(J13,TASKS!$A$6:$A$205,0)))</f>
        <v>Not Started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/>
      <c r="B14" s="41">
        <f>$B$5+0</f>
        <v>46279</v>
      </c>
      <c r="C14" s="41">
        <f>$B$5+1</f>
        <v>46280</v>
      </c>
      <c r="D14" s="41">
        <f>$B$5+2</f>
        <v>46281</v>
      </c>
      <c r="E14" s="41">
        <f>$B$5+3</f>
        <v>46282</v>
      </c>
      <c r="F14" s="41">
        <f>$B$5+4</f>
        <v>46283</v>
      </c>
      <c r="G14" s="41">
        <f>$B$5+5</f>
        <v>46284</v>
      </c>
      <c r="H14" s="41">
        <f>$B$5+6</f>
        <v>46285</v>
      </c>
      <c r="I14" s="4"/>
      <c r="J14" s="25" t="str">
        <f t="array" ref="J14">IF(SMALL(TASKS!$K$6:$K$205,6)&gt;=999999,"",INDEX(TASKS!$A$6:$A$205,MATCH(SMALL(TASKS!$K$6:$K$205,6),TASKS!$K$6:$K$205,0)))</f>
        <v/>
      </c>
      <c r="K14" s="25" t="str">
        <f t="array" ref="K14">IF(J14="","",INDEX(TASKS!$B$6:$B$205,MATCH(J14,TASKS!$A$6:$A$205,0)))</f>
        <v/>
      </c>
      <c r="L14" s="29" t="str">
        <f t="array" ref="L14">IF(J14="","",INDEX(TASKS!$E$6:$E$205,MATCH(J14,TASKS!$A$6:$A$205,0)))</f>
        <v/>
      </c>
      <c r="M14" s="25" t="str">
        <f t="array" ref="M14">IF(J14="","",INDEX(TASKS!$C$6:$C$205,MATCH(J14,TASKS!$A$6:$A$205,0)))</f>
        <v/>
      </c>
      <c r="N14" s="25" t="str">
        <f t="array" ref="N14">IF(J14="","",INDEX(TASKS!$F$6:$F$205,MATCH(J14,TASKS!$A$6:$A$205,0)))</f>
        <v/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1" t="s">
        <v>77</v>
      </c>
      <c r="B15" s="42"/>
      <c r="C15" s="42"/>
      <c r="D15" s="42"/>
      <c r="E15" s="42"/>
      <c r="F15" s="42"/>
      <c r="G15" s="42"/>
      <c r="H15" s="42"/>
      <c r="I15" s="4"/>
      <c r="J15" s="25" t="str">
        <f t="array" ref="J15">IF(SMALL(TASKS!$K$6:$K$205,7)&gt;=999999,"",INDEX(TASKS!$A$6:$A$205,MATCH(SMALL(TASKS!$K$6:$K$205,7),TASKS!$K$6:$K$205,0)))</f>
        <v/>
      </c>
      <c r="K15" s="25" t="str">
        <f t="array" ref="K15">IF(J15="","",INDEX(TASKS!$B$6:$B$205,MATCH(J15,TASKS!$A$6:$A$205,0)))</f>
        <v/>
      </c>
      <c r="L15" s="29" t="str">
        <f t="array" ref="L15">IF(J15="","",INDEX(TASKS!$E$6:$E$205,MATCH(J15,TASKS!$A$6:$A$205,0)))</f>
        <v/>
      </c>
      <c r="M15" s="25" t="str">
        <f t="array" ref="M15">IF(J15="","",INDEX(TASKS!$C$6:$C$205,MATCH(J15,TASKS!$A$6:$A$205,0)))</f>
        <v/>
      </c>
      <c r="N15" s="25" t="str">
        <f t="array" ref="N15">IF(J15="","",INDEX(TASKS!$F$6:$F$205,MATCH(J15,TASKS!$A$6:$A$205,0)))</f>
        <v/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1" t="s">
        <v>79</v>
      </c>
      <c r="B16" s="42"/>
      <c r="C16" s="42"/>
      <c r="D16" s="42"/>
      <c r="E16" s="42"/>
      <c r="F16" s="42"/>
      <c r="G16" s="42"/>
      <c r="H16" s="4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1" t="s">
        <v>80</v>
      </c>
      <c r="B17" s="42"/>
      <c r="C17" s="42"/>
      <c r="D17" s="42"/>
      <c r="E17" s="42"/>
      <c r="F17" s="42"/>
      <c r="G17" s="42"/>
      <c r="H17" s="42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1" t="s">
        <v>81</v>
      </c>
      <c r="B18" s="42"/>
      <c r="C18" s="42"/>
      <c r="D18" s="42"/>
      <c r="E18" s="42"/>
      <c r="F18" s="42"/>
      <c r="G18" s="42"/>
      <c r="H18" s="42"/>
      <c r="I18" s="4"/>
      <c r="J18" s="14" t="s">
        <v>82</v>
      </c>
      <c r="K18" s="9"/>
      <c r="L18" s="9"/>
      <c r="M18" s="9"/>
      <c r="N18" s="1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4" t="s">
        <v>83</v>
      </c>
      <c r="K19" s="2"/>
      <c r="L19" s="2"/>
      <c r="M19" s="2"/>
      <c r="N19" s="3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22"/>
      <c r="N20" s="23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5"/>
      <c r="K21" s="6"/>
      <c r="L21" s="6"/>
      <c r="M21" s="6"/>
      <c r="N21" s="7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4" t="s">
        <v>84</v>
      </c>
      <c r="K22" s="2"/>
      <c r="L22" s="2"/>
      <c r="M22" s="2"/>
      <c r="N22" s="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22"/>
      <c r="N23" s="2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5"/>
      <c r="K24" s="6"/>
      <c r="L24" s="6"/>
      <c r="M24" s="6"/>
      <c r="N24" s="7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4" t="s">
        <v>85</v>
      </c>
      <c r="K25" s="2"/>
      <c r="L25" s="2"/>
      <c r="M25" s="2"/>
      <c r="N25" s="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22"/>
      <c r="N26" s="2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5"/>
      <c r="K27" s="6"/>
      <c r="L27" s="6"/>
      <c r="M27" s="6"/>
      <c r="N27" s="7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J18:N18"/>
    <mergeCell ref="J19:N21"/>
    <mergeCell ref="J22:N24"/>
    <mergeCell ref="J25:N27"/>
    <mergeCell ref="A1:N2"/>
    <mergeCell ref="A3:N3"/>
    <mergeCell ref="A7:H7"/>
    <mergeCell ref="J7:N7"/>
    <mergeCell ref="B8:H8"/>
    <mergeCell ref="B10:H10"/>
    <mergeCell ref="A13:H1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5.0"/>
    <col customWidth="1" min="3" max="3" width="14.0"/>
    <col customWidth="1" min="4" max="5" width="13.0"/>
    <col customWidth="1" min="6" max="6" width="15.0"/>
    <col customWidth="1" min="7" max="7" width="17.0"/>
    <col customWidth="1" min="8" max="9" width="12.0"/>
    <col customWidth="1" min="10" max="10" width="28.0"/>
    <col customWidth="1" min="11" max="11" width="4.0"/>
    <col customWidth="1" min="12" max="26" width="8.88"/>
  </cols>
  <sheetData>
    <row r="1" ht="13.5" customHeight="1">
      <c r="A1" s="1" t="s">
        <v>105</v>
      </c>
      <c r="B1" s="2"/>
      <c r="C1" s="2"/>
      <c r="D1" s="2"/>
      <c r="E1" s="2"/>
      <c r="F1" s="2"/>
      <c r="G1" s="2"/>
      <c r="H1" s="2"/>
      <c r="I1" s="2"/>
      <c r="J1" s="3"/>
      <c r="K1" s="5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5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" t="s">
        <v>106</v>
      </c>
      <c r="B3" s="9"/>
      <c r="C3" s="9"/>
      <c r="D3" s="9"/>
      <c r="E3" s="9"/>
      <c r="F3" s="9"/>
      <c r="G3" s="9"/>
      <c r="H3" s="9"/>
      <c r="I3" s="9"/>
      <c r="J3" s="10"/>
      <c r="K3" s="5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31" t="s">
        <v>13</v>
      </c>
      <c r="B5" s="31" t="s">
        <v>15</v>
      </c>
      <c r="C5" s="31" t="s">
        <v>17</v>
      </c>
      <c r="D5" s="31" t="s">
        <v>107</v>
      </c>
      <c r="E5" s="31" t="s">
        <v>16</v>
      </c>
      <c r="F5" s="31" t="s">
        <v>18</v>
      </c>
      <c r="G5" s="31" t="s">
        <v>108</v>
      </c>
      <c r="H5" s="31" t="s">
        <v>109</v>
      </c>
      <c r="I5" s="31" t="s">
        <v>110</v>
      </c>
      <c r="J5" s="31" t="s">
        <v>81</v>
      </c>
      <c r="K5" s="18" t="s">
        <v>111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35" t="s">
        <v>112</v>
      </c>
      <c r="B6" s="35" t="s">
        <v>62</v>
      </c>
      <c r="C6" s="35" t="s">
        <v>113</v>
      </c>
      <c r="D6" s="37">
        <v>46279.0</v>
      </c>
      <c r="E6" s="37">
        <v>46279.0</v>
      </c>
      <c r="F6" s="35" t="s">
        <v>114</v>
      </c>
      <c r="G6" s="35" t="s">
        <v>74</v>
      </c>
      <c r="H6" s="39">
        <f t="shared" ref="H6:H205" si="1">IF(OR(A6="",F6="Done"),999999,IF(C6="Urgent",1,IF(C6="High",2,IF(C6="Medium",3,4)))+IF(E6="",0.9,MAX(0,E6-TODAY())/1000)+ROW()/100000)</f>
        <v>2.00006</v>
      </c>
      <c r="I6" s="39">
        <f t="shared" ref="I6:I205" si="2">IF(E6="","",E6-TODAY())</f>
        <v>-9</v>
      </c>
      <c r="J6" s="35"/>
      <c r="K6" s="56">
        <f>IF(OR(A6="",F6="Done",E6&lt;WEEKLY!$B$5,E6&gt;WEEKLY!$B$5+6),999999,H6)</f>
        <v>2.00006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35" t="s">
        <v>117</v>
      </c>
      <c r="B7" s="35" t="s">
        <v>118</v>
      </c>
      <c r="C7" s="35" t="s">
        <v>120</v>
      </c>
      <c r="D7" s="37">
        <v>46279.0</v>
      </c>
      <c r="E7" s="37">
        <v>46281.0</v>
      </c>
      <c r="F7" s="35" t="s">
        <v>114</v>
      </c>
      <c r="G7" s="35" t="s">
        <v>74</v>
      </c>
      <c r="H7" s="39">
        <f t="shared" si="1"/>
        <v>1.00007</v>
      </c>
      <c r="I7" s="39">
        <f t="shared" si="2"/>
        <v>-7</v>
      </c>
      <c r="J7" s="35"/>
      <c r="K7" s="56">
        <f>IF(OR(A7="",F7="Done",E7&lt;WEEKLY!$B$5,E7&gt;WEEKLY!$B$5+6),999999,H7)</f>
        <v>1.00007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35" t="s">
        <v>124</v>
      </c>
      <c r="B8" s="35" t="s">
        <v>125</v>
      </c>
      <c r="C8" s="35" t="s">
        <v>126</v>
      </c>
      <c r="D8" s="37">
        <v>46279.0</v>
      </c>
      <c r="E8" s="37">
        <v>46280.0</v>
      </c>
      <c r="F8" s="35" t="s">
        <v>127</v>
      </c>
      <c r="G8" s="35" t="s">
        <v>74</v>
      </c>
      <c r="H8" s="39">
        <f t="shared" si="1"/>
        <v>3.00008</v>
      </c>
      <c r="I8" s="39">
        <f t="shared" si="2"/>
        <v>-8</v>
      </c>
      <c r="J8" s="35"/>
      <c r="K8" s="56">
        <f>IF(OR(A8="",F8="Done",E8&lt;WEEKLY!$B$5,E8&gt;WEEKLY!$B$5+6),999999,H8)</f>
        <v>3.00008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35" t="s">
        <v>128</v>
      </c>
      <c r="B9" s="35" t="s">
        <v>62</v>
      </c>
      <c r="C9" s="35" t="s">
        <v>129</v>
      </c>
      <c r="D9" s="37">
        <v>46279.0</v>
      </c>
      <c r="E9" s="37">
        <v>46282.0</v>
      </c>
      <c r="F9" s="35" t="s">
        <v>114</v>
      </c>
      <c r="G9" s="35" t="s">
        <v>74</v>
      </c>
      <c r="H9" s="39">
        <f t="shared" si="1"/>
        <v>4.00009</v>
      </c>
      <c r="I9" s="39">
        <f t="shared" si="2"/>
        <v>-6</v>
      </c>
      <c r="J9" s="35"/>
      <c r="K9" s="56">
        <f>IF(OR(A9="",F9="Done",E9&lt;WEEKLY!$B$5,E9&gt;WEEKLY!$B$5+6),999999,H9)</f>
        <v>4.00009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35" t="s">
        <v>133</v>
      </c>
      <c r="B10" s="35" t="s">
        <v>62</v>
      </c>
      <c r="C10" s="35" t="s">
        <v>113</v>
      </c>
      <c r="D10" s="37">
        <v>46279.0</v>
      </c>
      <c r="E10" s="37">
        <v>46283.0</v>
      </c>
      <c r="F10" s="35" t="s">
        <v>114</v>
      </c>
      <c r="G10" s="35" t="s">
        <v>74</v>
      </c>
      <c r="H10" s="39">
        <f t="shared" si="1"/>
        <v>2.0001</v>
      </c>
      <c r="I10" s="39">
        <f t="shared" si="2"/>
        <v>-5</v>
      </c>
      <c r="J10" s="35"/>
      <c r="K10" s="56">
        <f>IF(OR(A10="",F10="Done",E10&lt;WEEKLY!$B$5,E10&gt;WEEKLY!$B$5+6),999999,H10)</f>
        <v>2.0001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35"/>
      <c r="B11" s="35"/>
      <c r="C11" s="35"/>
      <c r="D11" s="37"/>
      <c r="E11" s="37"/>
      <c r="F11" s="35"/>
      <c r="G11" s="35"/>
      <c r="H11" s="39">
        <f t="shared" si="1"/>
        <v>999999</v>
      </c>
      <c r="I11" s="39" t="str">
        <f t="shared" si="2"/>
        <v/>
      </c>
      <c r="J11" s="35"/>
      <c r="K11" s="56">
        <f>IF(OR(A11="",F11="Done",E11&lt;WEEKLY!$B$5,E11&gt;WEEKLY!$B$5+6),999999,H11)</f>
        <v>999999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35"/>
      <c r="B12" s="35"/>
      <c r="C12" s="35"/>
      <c r="D12" s="37"/>
      <c r="E12" s="37"/>
      <c r="F12" s="35"/>
      <c r="G12" s="35"/>
      <c r="H12" s="39">
        <f t="shared" si="1"/>
        <v>999999</v>
      </c>
      <c r="I12" s="39" t="str">
        <f t="shared" si="2"/>
        <v/>
      </c>
      <c r="J12" s="35"/>
      <c r="K12" s="56">
        <f>IF(OR(A12="",F12="Done",E12&lt;WEEKLY!$B$5,E12&gt;WEEKLY!$B$5+6),999999,H12)</f>
        <v>999999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35"/>
      <c r="B13" s="35"/>
      <c r="C13" s="35"/>
      <c r="D13" s="37"/>
      <c r="E13" s="37"/>
      <c r="F13" s="35"/>
      <c r="G13" s="35"/>
      <c r="H13" s="39">
        <f t="shared" si="1"/>
        <v>999999</v>
      </c>
      <c r="I13" s="39" t="str">
        <f t="shared" si="2"/>
        <v/>
      </c>
      <c r="J13" s="35"/>
      <c r="K13" s="56">
        <f>IF(OR(A13="",F13="Done",E13&lt;WEEKLY!$B$5,E13&gt;WEEKLY!$B$5+6),999999,H13)</f>
        <v>999999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35"/>
      <c r="B14" s="35"/>
      <c r="C14" s="35"/>
      <c r="D14" s="37"/>
      <c r="E14" s="37"/>
      <c r="F14" s="35"/>
      <c r="G14" s="35"/>
      <c r="H14" s="39">
        <f t="shared" si="1"/>
        <v>999999</v>
      </c>
      <c r="I14" s="39" t="str">
        <f t="shared" si="2"/>
        <v/>
      </c>
      <c r="J14" s="35"/>
      <c r="K14" s="56">
        <f>IF(OR(A14="",F14="Done",E14&lt;WEEKLY!$B$5,E14&gt;WEEKLY!$B$5+6),999999,H14)</f>
        <v>999999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35"/>
      <c r="B15" s="35"/>
      <c r="C15" s="35"/>
      <c r="D15" s="37"/>
      <c r="E15" s="37"/>
      <c r="F15" s="35"/>
      <c r="G15" s="35"/>
      <c r="H15" s="39">
        <f t="shared" si="1"/>
        <v>999999</v>
      </c>
      <c r="I15" s="39" t="str">
        <f t="shared" si="2"/>
        <v/>
      </c>
      <c r="J15" s="35"/>
      <c r="K15" s="56">
        <f>IF(OR(A15="",F15="Done",E15&lt;WEEKLY!$B$5,E15&gt;WEEKLY!$B$5+6),999999,H15)</f>
        <v>999999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35"/>
      <c r="B16" s="35"/>
      <c r="C16" s="35"/>
      <c r="D16" s="37"/>
      <c r="E16" s="37"/>
      <c r="F16" s="35"/>
      <c r="G16" s="35"/>
      <c r="H16" s="39">
        <f t="shared" si="1"/>
        <v>999999</v>
      </c>
      <c r="I16" s="39" t="str">
        <f t="shared" si="2"/>
        <v/>
      </c>
      <c r="J16" s="35"/>
      <c r="K16" s="56">
        <f>IF(OR(A16="",F16="Done",E16&lt;WEEKLY!$B$5,E16&gt;WEEKLY!$B$5+6),999999,H16)</f>
        <v>999999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35"/>
      <c r="B17" s="35"/>
      <c r="C17" s="35"/>
      <c r="D17" s="37"/>
      <c r="E17" s="37"/>
      <c r="F17" s="35"/>
      <c r="G17" s="35"/>
      <c r="H17" s="39">
        <f t="shared" si="1"/>
        <v>999999</v>
      </c>
      <c r="I17" s="39" t="str">
        <f t="shared" si="2"/>
        <v/>
      </c>
      <c r="J17" s="35"/>
      <c r="K17" s="56">
        <f>IF(OR(A17="",F17="Done",E17&lt;WEEKLY!$B$5,E17&gt;WEEKLY!$B$5+6),999999,H17)</f>
        <v>999999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35"/>
      <c r="B18" s="35"/>
      <c r="C18" s="35"/>
      <c r="D18" s="37"/>
      <c r="E18" s="37"/>
      <c r="F18" s="35"/>
      <c r="G18" s="35"/>
      <c r="H18" s="39">
        <f t="shared" si="1"/>
        <v>999999</v>
      </c>
      <c r="I18" s="39" t="str">
        <f t="shared" si="2"/>
        <v/>
      </c>
      <c r="J18" s="35"/>
      <c r="K18" s="56">
        <f>IF(OR(A18="",F18="Done",E18&lt;WEEKLY!$B$5,E18&gt;WEEKLY!$B$5+6),999999,H18)</f>
        <v>999999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35"/>
      <c r="B19" s="35"/>
      <c r="C19" s="35"/>
      <c r="D19" s="37"/>
      <c r="E19" s="37"/>
      <c r="F19" s="35"/>
      <c r="G19" s="35"/>
      <c r="H19" s="39">
        <f t="shared" si="1"/>
        <v>999999</v>
      </c>
      <c r="I19" s="39" t="str">
        <f t="shared" si="2"/>
        <v/>
      </c>
      <c r="J19" s="35"/>
      <c r="K19" s="56">
        <f>IF(OR(A19="",F19="Done",E19&lt;WEEKLY!$B$5,E19&gt;WEEKLY!$B$5+6),999999,H19)</f>
        <v>999999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35"/>
      <c r="B20" s="35"/>
      <c r="C20" s="35"/>
      <c r="D20" s="37"/>
      <c r="E20" s="37"/>
      <c r="F20" s="35"/>
      <c r="G20" s="35"/>
      <c r="H20" s="39">
        <f t="shared" si="1"/>
        <v>999999</v>
      </c>
      <c r="I20" s="39" t="str">
        <f t="shared" si="2"/>
        <v/>
      </c>
      <c r="J20" s="35"/>
      <c r="K20" s="56">
        <f>IF(OR(A20="",F20="Done",E20&lt;WEEKLY!$B$5,E20&gt;WEEKLY!$B$5+6),999999,H20)</f>
        <v>999999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35"/>
      <c r="B21" s="35"/>
      <c r="C21" s="35"/>
      <c r="D21" s="37"/>
      <c r="E21" s="37"/>
      <c r="F21" s="35"/>
      <c r="G21" s="35"/>
      <c r="H21" s="39">
        <f t="shared" si="1"/>
        <v>999999</v>
      </c>
      <c r="I21" s="39" t="str">
        <f t="shared" si="2"/>
        <v/>
      </c>
      <c r="J21" s="35"/>
      <c r="K21" s="56">
        <f>IF(OR(A21="",F21="Done",E21&lt;WEEKLY!$B$5,E21&gt;WEEKLY!$B$5+6),999999,H21)</f>
        <v>999999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35"/>
      <c r="B22" s="35"/>
      <c r="C22" s="35"/>
      <c r="D22" s="37"/>
      <c r="E22" s="37"/>
      <c r="F22" s="35"/>
      <c r="G22" s="35"/>
      <c r="H22" s="39">
        <f t="shared" si="1"/>
        <v>999999</v>
      </c>
      <c r="I22" s="39" t="str">
        <f t="shared" si="2"/>
        <v/>
      </c>
      <c r="J22" s="35"/>
      <c r="K22" s="56">
        <f>IF(OR(A22="",F22="Done",E22&lt;WEEKLY!$B$5,E22&gt;WEEKLY!$B$5+6),999999,H22)</f>
        <v>999999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35"/>
      <c r="B23" s="35"/>
      <c r="C23" s="35"/>
      <c r="D23" s="37"/>
      <c r="E23" s="37"/>
      <c r="F23" s="35"/>
      <c r="G23" s="35"/>
      <c r="H23" s="39">
        <f t="shared" si="1"/>
        <v>999999</v>
      </c>
      <c r="I23" s="39" t="str">
        <f t="shared" si="2"/>
        <v/>
      </c>
      <c r="J23" s="35"/>
      <c r="K23" s="56">
        <f>IF(OR(A23="",F23="Done",E23&lt;WEEKLY!$B$5,E23&gt;WEEKLY!$B$5+6),999999,H23)</f>
        <v>999999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35"/>
      <c r="B24" s="35"/>
      <c r="C24" s="35"/>
      <c r="D24" s="37"/>
      <c r="E24" s="37"/>
      <c r="F24" s="35"/>
      <c r="G24" s="35"/>
      <c r="H24" s="39">
        <f t="shared" si="1"/>
        <v>999999</v>
      </c>
      <c r="I24" s="39" t="str">
        <f t="shared" si="2"/>
        <v/>
      </c>
      <c r="J24" s="35"/>
      <c r="K24" s="56">
        <f>IF(OR(A24="",F24="Done",E24&lt;WEEKLY!$B$5,E24&gt;WEEKLY!$B$5+6),999999,H24)</f>
        <v>999999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35"/>
      <c r="B25" s="35"/>
      <c r="C25" s="35"/>
      <c r="D25" s="37"/>
      <c r="E25" s="37"/>
      <c r="F25" s="35"/>
      <c r="G25" s="35"/>
      <c r="H25" s="39">
        <f t="shared" si="1"/>
        <v>999999</v>
      </c>
      <c r="I25" s="39" t="str">
        <f t="shared" si="2"/>
        <v/>
      </c>
      <c r="J25" s="35"/>
      <c r="K25" s="56">
        <f>IF(OR(A25="",F25="Done",E25&lt;WEEKLY!$B$5,E25&gt;WEEKLY!$B$5+6),999999,H25)</f>
        <v>999999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35"/>
      <c r="B26" s="35"/>
      <c r="C26" s="35"/>
      <c r="D26" s="37"/>
      <c r="E26" s="37"/>
      <c r="F26" s="35"/>
      <c r="G26" s="35"/>
      <c r="H26" s="39">
        <f t="shared" si="1"/>
        <v>999999</v>
      </c>
      <c r="I26" s="39" t="str">
        <f t="shared" si="2"/>
        <v/>
      </c>
      <c r="J26" s="35"/>
      <c r="K26" s="56">
        <f>IF(OR(A26="",F26="Done",E26&lt;WEEKLY!$B$5,E26&gt;WEEKLY!$B$5+6),999999,H26)</f>
        <v>999999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35"/>
      <c r="B27" s="35"/>
      <c r="C27" s="35"/>
      <c r="D27" s="37"/>
      <c r="E27" s="37"/>
      <c r="F27" s="35"/>
      <c r="G27" s="35"/>
      <c r="H27" s="39">
        <f t="shared" si="1"/>
        <v>999999</v>
      </c>
      <c r="I27" s="39" t="str">
        <f t="shared" si="2"/>
        <v/>
      </c>
      <c r="J27" s="35"/>
      <c r="K27" s="56">
        <f>IF(OR(A27="",F27="Done",E27&lt;WEEKLY!$B$5,E27&gt;WEEKLY!$B$5+6),999999,H27)</f>
        <v>999999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35"/>
      <c r="B28" s="35"/>
      <c r="C28" s="35"/>
      <c r="D28" s="37"/>
      <c r="E28" s="37"/>
      <c r="F28" s="35"/>
      <c r="G28" s="35"/>
      <c r="H28" s="39">
        <f t="shared" si="1"/>
        <v>999999</v>
      </c>
      <c r="I28" s="39" t="str">
        <f t="shared" si="2"/>
        <v/>
      </c>
      <c r="J28" s="35"/>
      <c r="K28" s="56">
        <f>IF(OR(A28="",F28="Done",E28&lt;WEEKLY!$B$5,E28&gt;WEEKLY!$B$5+6),999999,H28)</f>
        <v>999999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35"/>
      <c r="B29" s="35"/>
      <c r="C29" s="35"/>
      <c r="D29" s="37"/>
      <c r="E29" s="37"/>
      <c r="F29" s="35"/>
      <c r="G29" s="35"/>
      <c r="H29" s="39">
        <f t="shared" si="1"/>
        <v>999999</v>
      </c>
      <c r="I29" s="39" t="str">
        <f t="shared" si="2"/>
        <v/>
      </c>
      <c r="J29" s="35"/>
      <c r="K29" s="56">
        <f>IF(OR(A29="",F29="Done",E29&lt;WEEKLY!$B$5,E29&gt;WEEKLY!$B$5+6),999999,H29)</f>
        <v>999999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35"/>
      <c r="B30" s="35"/>
      <c r="C30" s="35"/>
      <c r="D30" s="37"/>
      <c r="E30" s="37"/>
      <c r="F30" s="35"/>
      <c r="G30" s="35"/>
      <c r="H30" s="39">
        <f t="shared" si="1"/>
        <v>999999</v>
      </c>
      <c r="I30" s="39" t="str">
        <f t="shared" si="2"/>
        <v/>
      </c>
      <c r="J30" s="35"/>
      <c r="K30" s="56">
        <f>IF(OR(A30="",F30="Done",E30&lt;WEEKLY!$B$5,E30&gt;WEEKLY!$B$5+6),999999,H30)</f>
        <v>999999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35"/>
      <c r="B31" s="35"/>
      <c r="C31" s="35"/>
      <c r="D31" s="37"/>
      <c r="E31" s="37"/>
      <c r="F31" s="35"/>
      <c r="G31" s="35"/>
      <c r="H31" s="39">
        <f t="shared" si="1"/>
        <v>999999</v>
      </c>
      <c r="I31" s="39" t="str">
        <f t="shared" si="2"/>
        <v/>
      </c>
      <c r="J31" s="35"/>
      <c r="K31" s="56">
        <f>IF(OR(A31="",F31="Done",E31&lt;WEEKLY!$B$5,E31&gt;WEEKLY!$B$5+6),999999,H31)</f>
        <v>999999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35"/>
      <c r="B32" s="35"/>
      <c r="C32" s="35"/>
      <c r="D32" s="37"/>
      <c r="E32" s="37"/>
      <c r="F32" s="35"/>
      <c r="G32" s="35"/>
      <c r="H32" s="39">
        <f t="shared" si="1"/>
        <v>999999</v>
      </c>
      <c r="I32" s="39" t="str">
        <f t="shared" si="2"/>
        <v/>
      </c>
      <c r="J32" s="35"/>
      <c r="K32" s="56">
        <f>IF(OR(A32="",F32="Done",E32&lt;WEEKLY!$B$5,E32&gt;WEEKLY!$B$5+6),999999,H32)</f>
        <v>999999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35"/>
      <c r="B33" s="35"/>
      <c r="C33" s="35"/>
      <c r="D33" s="37"/>
      <c r="E33" s="37"/>
      <c r="F33" s="35"/>
      <c r="G33" s="35"/>
      <c r="H33" s="39">
        <f t="shared" si="1"/>
        <v>999999</v>
      </c>
      <c r="I33" s="39" t="str">
        <f t="shared" si="2"/>
        <v/>
      </c>
      <c r="J33" s="35"/>
      <c r="K33" s="56">
        <f>IF(OR(A33="",F33="Done",E33&lt;WEEKLY!$B$5,E33&gt;WEEKLY!$B$5+6),999999,H33)</f>
        <v>999999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35"/>
      <c r="B34" s="35"/>
      <c r="C34" s="35"/>
      <c r="D34" s="37"/>
      <c r="E34" s="37"/>
      <c r="F34" s="35"/>
      <c r="G34" s="35"/>
      <c r="H34" s="39">
        <f t="shared" si="1"/>
        <v>999999</v>
      </c>
      <c r="I34" s="39" t="str">
        <f t="shared" si="2"/>
        <v/>
      </c>
      <c r="J34" s="35"/>
      <c r="K34" s="56">
        <f>IF(OR(A34="",F34="Done",E34&lt;WEEKLY!$B$5,E34&gt;WEEKLY!$B$5+6),999999,H34)</f>
        <v>999999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35"/>
      <c r="B35" s="35"/>
      <c r="C35" s="35"/>
      <c r="D35" s="37"/>
      <c r="E35" s="37"/>
      <c r="F35" s="35"/>
      <c r="G35" s="35"/>
      <c r="H35" s="39">
        <f t="shared" si="1"/>
        <v>999999</v>
      </c>
      <c r="I35" s="39" t="str">
        <f t="shared" si="2"/>
        <v/>
      </c>
      <c r="J35" s="35"/>
      <c r="K35" s="56">
        <f>IF(OR(A35="",F35="Done",E35&lt;WEEKLY!$B$5,E35&gt;WEEKLY!$B$5+6),999999,H35)</f>
        <v>999999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35"/>
      <c r="B36" s="35"/>
      <c r="C36" s="35"/>
      <c r="D36" s="37"/>
      <c r="E36" s="37"/>
      <c r="F36" s="35"/>
      <c r="G36" s="35"/>
      <c r="H36" s="39">
        <f t="shared" si="1"/>
        <v>999999</v>
      </c>
      <c r="I36" s="39" t="str">
        <f t="shared" si="2"/>
        <v/>
      </c>
      <c r="J36" s="35"/>
      <c r="K36" s="56">
        <f>IF(OR(A36="",F36="Done",E36&lt;WEEKLY!$B$5,E36&gt;WEEKLY!$B$5+6),999999,H36)</f>
        <v>999999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35"/>
      <c r="B37" s="35"/>
      <c r="C37" s="35"/>
      <c r="D37" s="37"/>
      <c r="E37" s="37"/>
      <c r="F37" s="35"/>
      <c r="G37" s="35"/>
      <c r="H37" s="39">
        <f t="shared" si="1"/>
        <v>999999</v>
      </c>
      <c r="I37" s="39" t="str">
        <f t="shared" si="2"/>
        <v/>
      </c>
      <c r="J37" s="35"/>
      <c r="K37" s="56">
        <f>IF(OR(A37="",F37="Done",E37&lt;WEEKLY!$B$5,E37&gt;WEEKLY!$B$5+6),999999,H37)</f>
        <v>999999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35"/>
      <c r="B38" s="35"/>
      <c r="C38" s="35"/>
      <c r="D38" s="37"/>
      <c r="E38" s="37"/>
      <c r="F38" s="35"/>
      <c r="G38" s="35"/>
      <c r="H38" s="39">
        <f t="shared" si="1"/>
        <v>999999</v>
      </c>
      <c r="I38" s="39" t="str">
        <f t="shared" si="2"/>
        <v/>
      </c>
      <c r="J38" s="35"/>
      <c r="K38" s="56">
        <f>IF(OR(A38="",F38="Done",E38&lt;WEEKLY!$B$5,E38&gt;WEEKLY!$B$5+6),999999,H38)</f>
        <v>999999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35"/>
      <c r="B39" s="35"/>
      <c r="C39" s="35"/>
      <c r="D39" s="37"/>
      <c r="E39" s="37"/>
      <c r="F39" s="35"/>
      <c r="G39" s="35"/>
      <c r="H39" s="39">
        <f t="shared" si="1"/>
        <v>999999</v>
      </c>
      <c r="I39" s="39" t="str">
        <f t="shared" si="2"/>
        <v/>
      </c>
      <c r="J39" s="35"/>
      <c r="K39" s="56">
        <f>IF(OR(A39="",F39="Done",E39&lt;WEEKLY!$B$5,E39&gt;WEEKLY!$B$5+6),999999,H39)</f>
        <v>999999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35"/>
      <c r="B40" s="35"/>
      <c r="C40" s="35"/>
      <c r="D40" s="37"/>
      <c r="E40" s="37"/>
      <c r="F40" s="35"/>
      <c r="G40" s="35"/>
      <c r="H40" s="39">
        <f t="shared" si="1"/>
        <v>999999</v>
      </c>
      <c r="I40" s="39" t="str">
        <f t="shared" si="2"/>
        <v/>
      </c>
      <c r="J40" s="35"/>
      <c r="K40" s="56">
        <f>IF(OR(A40="",F40="Done",E40&lt;WEEKLY!$B$5,E40&gt;WEEKLY!$B$5+6),999999,H40)</f>
        <v>999999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35"/>
      <c r="B41" s="35"/>
      <c r="C41" s="35"/>
      <c r="D41" s="37"/>
      <c r="E41" s="37"/>
      <c r="F41" s="35"/>
      <c r="G41" s="35"/>
      <c r="H41" s="39">
        <f t="shared" si="1"/>
        <v>999999</v>
      </c>
      <c r="I41" s="39" t="str">
        <f t="shared" si="2"/>
        <v/>
      </c>
      <c r="J41" s="35"/>
      <c r="K41" s="56">
        <f>IF(OR(A41="",F41="Done",E41&lt;WEEKLY!$B$5,E41&gt;WEEKLY!$B$5+6),999999,H41)</f>
        <v>999999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35"/>
      <c r="B42" s="35"/>
      <c r="C42" s="35"/>
      <c r="D42" s="37"/>
      <c r="E42" s="37"/>
      <c r="F42" s="35"/>
      <c r="G42" s="35"/>
      <c r="H42" s="39">
        <f t="shared" si="1"/>
        <v>999999</v>
      </c>
      <c r="I42" s="39" t="str">
        <f t="shared" si="2"/>
        <v/>
      </c>
      <c r="J42" s="35"/>
      <c r="K42" s="56">
        <f>IF(OR(A42="",F42="Done",E42&lt;WEEKLY!$B$5,E42&gt;WEEKLY!$B$5+6),999999,H42)</f>
        <v>999999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35"/>
      <c r="B43" s="35"/>
      <c r="C43" s="35"/>
      <c r="D43" s="37"/>
      <c r="E43" s="37"/>
      <c r="F43" s="35"/>
      <c r="G43" s="35"/>
      <c r="H43" s="39">
        <f t="shared" si="1"/>
        <v>999999</v>
      </c>
      <c r="I43" s="39" t="str">
        <f t="shared" si="2"/>
        <v/>
      </c>
      <c r="J43" s="35"/>
      <c r="K43" s="56">
        <f>IF(OR(A43="",F43="Done",E43&lt;WEEKLY!$B$5,E43&gt;WEEKLY!$B$5+6),999999,H43)</f>
        <v>999999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35"/>
      <c r="B44" s="35"/>
      <c r="C44" s="35"/>
      <c r="D44" s="37"/>
      <c r="E44" s="37"/>
      <c r="F44" s="35"/>
      <c r="G44" s="35"/>
      <c r="H44" s="39">
        <f t="shared" si="1"/>
        <v>999999</v>
      </c>
      <c r="I44" s="39" t="str">
        <f t="shared" si="2"/>
        <v/>
      </c>
      <c r="J44" s="35"/>
      <c r="K44" s="56">
        <f>IF(OR(A44="",F44="Done",E44&lt;WEEKLY!$B$5,E44&gt;WEEKLY!$B$5+6),999999,H44)</f>
        <v>999999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35"/>
      <c r="B45" s="35"/>
      <c r="C45" s="35"/>
      <c r="D45" s="37"/>
      <c r="E45" s="37"/>
      <c r="F45" s="35"/>
      <c r="G45" s="35"/>
      <c r="H45" s="39">
        <f t="shared" si="1"/>
        <v>999999</v>
      </c>
      <c r="I45" s="39" t="str">
        <f t="shared" si="2"/>
        <v/>
      </c>
      <c r="J45" s="35"/>
      <c r="K45" s="56">
        <f>IF(OR(A45="",F45="Done",E45&lt;WEEKLY!$B$5,E45&gt;WEEKLY!$B$5+6),999999,H45)</f>
        <v>999999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35"/>
      <c r="B46" s="35"/>
      <c r="C46" s="35"/>
      <c r="D46" s="37"/>
      <c r="E46" s="37"/>
      <c r="F46" s="35"/>
      <c r="G46" s="35"/>
      <c r="H46" s="39">
        <f t="shared" si="1"/>
        <v>999999</v>
      </c>
      <c r="I46" s="39" t="str">
        <f t="shared" si="2"/>
        <v/>
      </c>
      <c r="J46" s="35"/>
      <c r="K46" s="56">
        <f>IF(OR(A46="",F46="Done",E46&lt;WEEKLY!$B$5,E46&gt;WEEKLY!$B$5+6),999999,H46)</f>
        <v>999999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35"/>
      <c r="B47" s="35"/>
      <c r="C47" s="35"/>
      <c r="D47" s="37"/>
      <c r="E47" s="37"/>
      <c r="F47" s="35"/>
      <c r="G47" s="35"/>
      <c r="H47" s="39">
        <f t="shared" si="1"/>
        <v>999999</v>
      </c>
      <c r="I47" s="39" t="str">
        <f t="shared" si="2"/>
        <v/>
      </c>
      <c r="J47" s="35"/>
      <c r="K47" s="56">
        <f>IF(OR(A47="",F47="Done",E47&lt;WEEKLY!$B$5,E47&gt;WEEKLY!$B$5+6),999999,H47)</f>
        <v>999999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35"/>
      <c r="B48" s="35"/>
      <c r="C48" s="35"/>
      <c r="D48" s="37"/>
      <c r="E48" s="37"/>
      <c r="F48" s="35"/>
      <c r="G48" s="35"/>
      <c r="H48" s="39">
        <f t="shared" si="1"/>
        <v>999999</v>
      </c>
      <c r="I48" s="39" t="str">
        <f t="shared" si="2"/>
        <v/>
      </c>
      <c r="J48" s="35"/>
      <c r="K48" s="56">
        <f>IF(OR(A48="",F48="Done",E48&lt;WEEKLY!$B$5,E48&gt;WEEKLY!$B$5+6),999999,H48)</f>
        <v>999999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35"/>
      <c r="B49" s="35"/>
      <c r="C49" s="35"/>
      <c r="D49" s="37"/>
      <c r="E49" s="37"/>
      <c r="F49" s="35"/>
      <c r="G49" s="35"/>
      <c r="H49" s="39">
        <f t="shared" si="1"/>
        <v>999999</v>
      </c>
      <c r="I49" s="39" t="str">
        <f t="shared" si="2"/>
        <v/>
      </c>
      <c r="J49" s="35"/>
      <c r="K49" s="56">
        <f>IF(OR(A49="",F49="Done",E49&lt;WEEKLY!$B$5,E49&gt;WEEKLY!$B$5+6),999999,H49)</f>
        <v>999999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35"/>
      <c r="B50" s="35"/>
      <c r="C50" s="35"/>
      <c r="D50" s="37"/>
      <c r="E50" s="37"/>
      <c r="F50" s="35"/>
      <c r="G50" s="35"/>
      <c r="H50" s="39">
        <f t="shared" si="1"/>
        <v>999999</v>
      </c>
      <c r="I50" s="39" t="str">
        <f t="shared" si="2"/>
        <v/>
      </c>
      <c r="J50" s="35"/>
      <c r="K50" s="56">
        <f>IF(OR(A50="",F50="Done",E50&lt;WEEKLY!$B$5,E50&gt;WEEKLY!$B$5+6),999999,H50)</f>
        <v>999999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35"/>
      <c r="B51" s="35"/>
      <c r="C51" s="35"/>
      <c r="D51" s="37"/>
      <c r="E51" s="37"/>
      <c r="F51" s="35"/>
      <c r="G51" s="35"/>
      <c r="H51" s="39">
        <f t="shared" si="1"/>
        <v>999999</v>
      </c>
      <c r="I51" s="39" t="str">
        <f t="shared" si="2"/>
        <v/>
      </c>
      <c r="J51" s="35"/>
      <c r="K51" s="56">
        <f>IF(OR(A51="",F51="Done",E51&lt;WEEKLY!$B$5,E51&gt;WEEKLY!$B$5+6),999999,H51)</f>
        <v>999999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35"/>
      <c r="B52" s="35"/>
      <c r="C52" s="35"/>
      <c r="D52" s="37"/>
      <c r="E52" s="37"/>
      <c r="F52" s="35"/>
      <c r="G52" s="35"/>
      <c r="H52" s="39">
        <f t="shared" si="1"/>
        <v>999999</v>
      </c>
      <c r="I52" s="39" t="str">
        <f t="shared" si="2"/>
        <v/>
      </c>
      <c r="J52" s="35"/>
      <c r="K52" s="56">
        <f>IF(OR(A52="",F52="Done",E52&lt;WEEKLY!$B$5,E52&gt;WEEKLY!$B$5+6),999999,H52)</f>
        <v>999999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35"/>
      <c r="B53" s="35"/>
      <c r="C53" s="35"/>
      <c r="D53" s="37"/>
      <c r="E53" s="37"/>
      <c r="F53" s="35"/>
      <c r="G53" s="35"/>
      <c r="H53" s="39">
        <f t="shared" si="1"/>
        <v>999999</v>
      </c>
      <c r="I53" s="39" t="str">
        <f t="shared" si="2"/>
        <v/>
      </c>
      <c r="J53" s="35"/>
      <c r="K53" s="56">
        <f>IF(OR(A53="",F53="Done",E53&lt;WEEKLY!$B$5,E53&gt;WEEKLY!$B$5+6),999999,H53)</f>
        <v>999999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35"/>
      <c r="B54" s="35"/>
      <c r="C54" s="35"/>
      <c r="D54" s="37"/>
      <c r="E54" s="37"/>
      <c r="F54" s="35"/>
      <c r="G54" s="35"/>
      <c r="H54" s="39">
        <f t="shared" si="1"/>
        <v>999999</v>
      </c>
      <c r="I54" s="39" t="str">
        <f t="shared" si="2"/>
        <v/>
      </c>
      <c r="J54" s="35"/>
      <c r="K54" s="56">
        <f>IF(OR(A54="",F54="Done",E54&lt;WEEKLY!$B$5,E54&gt;WEEKLY!$B$5+6),999999,H54)</f>
        <v>999999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35"/>
      <c r="B55" s="35"/>
      <c r="C55" s="35"/>
      <c r="D55" s="37"/>
      <c r="E55" s="37"/>
      <c r="F55" s="35"/>
      <c r="G55" s="35"/>
      <c r="H55" s="39">
        <f t="shared" si="1"/>
        <v>999999</v>
      </c>
      <c r="I55" s="39" t="str">
        <f t="shared" si="2"/>
        <v/>
      </c>
      <c r="J55" s="35"/>
      <c r="K55" s="56">
        <f>IF(OR(A55="",F55="Done",E55&lt;WEEKLY!$B$5,E55&gt;WEEKLY!$B$5+6),999999,H55)</f>
        <v>999999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35"/>
      <c r="B56" s="35"/>
      <c r="C56" s="35"/>
      <c r="D56" s="37"/>
      <c r="E56" s="37"/>
      <c r="F56" s="35"/>
      <c r="G56" s="35"/>
      <c r="H56" s="39">
        <f t="shared" si="1"/>
        <v>999999</v>
      </c>
      <c r="I56" s="39" t="str">
        <f t="shared" si="2"/>
        <v/>
      </c>
      <c r="J56" s="35"/>
      <c r="K56" s="56">
        <f>IF(OR(A56="",F56="Done",E56&lt;WEEKLY!$B$5,E56&gt;WEEKLY!$B$5+6),999999,H56)</f>
        <v>999999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35"/>
      <c r="B57" s="35"/>
      <c r="C57" s="35"/>
      <c r="D57" s="37"/>
      <c r="E57" s="37"/>
      <c r="F57" s="35"/>
      <c r="G57" s="35"/>
      <c r="H57" s="39">
        <f t="shared" si="1"/>
        <v>999999</v>
      </c>
      <c r="I57" s="39" t="str">
        <f t="shared" si="2"/>
        <v/>
      </c>
      <c r="J57" s="35"/>
      <c r="K57" s="56">
        <f>IF(OR(A57="",F57="Done",E57&lt;WEEKLY!$B$5,E57&gt;WEEKLY!$B$5+6),999999,H57)</f>
        <v>999999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35"/>
      <c r="B58" s="35"/>
      <c r="C58" s="35"/>
      <c r="D58" s="37"/>
      <c r="E58" s="37"/>
      <c r="F58" s="35"/>
      <c r="G58" s="35"/>
      <c r="H58" s="39">
        <f t="shared" si="1"/>
        <v>999999</v>
      </c>
      <c r="I58" s="39" t="str">
        <f t="shared" si="2"/>
        <v/>
      </c>
      <c r="J58" s="35"/>
      <c r="K58" s="56">
        <f>IF(OR(A58="",F58="Done",E58&lt;WEEKLY!$B$5,E58&gt;WEEKLY!$B$5+6),999999,H58)</f>
        <v>999999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35"/>
      <c r="B59" s="35"/>
      <c r="C59" s="35"/>
      <c r="D59" s="37"/>
      <c r="E59" s="37"/>
      <c r="F59" s="35"/>
      <c r="G59" s="35"/>
      <c r="H59" s="39">
        <f t="shared" si="1"/>
        <v>999999</v>
      </c>
      <c r="I59" s="39" t="str">
        <f t="shared" si="2"/>
        <v/>
      </c>
      <c r="J59" s="35"/>
      <c r="K59" s="56">
        <f>IF(OR(A59="",F59="Done",E59&lt;WEEKLY!$B$5,E59&gt;WEEKLY!$B$5+6),999999,H59)</f>
        <v>999999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35"/>
      <c r="B60" s="35"/>
      <c r="C60" s="35"/>
      <c r="D60" s="37"/>
      <c r="E60" s="37"/>
      <c r="F60" s="35"/>
      <c r="G60" s="35"/>
      <c r="H60" s="39">
        <f t="shared" si="1"/>
        <v>999999</v>
      </c>
      <c r="I60" s="39" t="str">
        <f t="shared" si="2"/>
        <v/>
      </c>
      <c r="J60" s="35"/>
      <c r="K60" s="56">
        <f>IF(OR(A60="",F60="Done",E60&lt;WEEKLY!$B$5,E60&gt;WEEKLY!$B$5+6),999999,H60)</f>
        <v>999999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35"/>
      <c r="B61" s="35"/>
      <c r="C61" s="35"/>
      <c r="D61" s="37"/>
      <c r="E61" s="37"/>
      <c r="F61" s="35"/>
      <c r="G61" s="35"/>
      <c r="H61" s="39">
        <f t="shared" si="1"/>
        <v>999999</v>
      </c>
      <c r="I61" s="39" t="str">
        <f t="shared" si="2"/>
        <v/>
      </c>
      <c r="J61" s="35"/>
      <c r="K61" s="56">
        <f>IF(OR(A61="",F61="Done",E61&lt;WEEKLY!$B$5,E61&gt;WEEKLY!$B$5+6),999999,H61)</f>
        <v>999999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35"/>
      <c r="B62" s="35"/>
      <c r="C62" s="35"/>
      <c r="D62" s="37"/>
      <c r="E62" s="37"/>
      <c r="F62" s="35"/>
      <c r="G62" s="35"/>
      <c r="H62" s="39">
        <f t="shared" si="1"/>
        <v>999999</v>
      </c>
      <c r="I62" s="39" t="str">
        <f t="shared" si="2"/>
        <v/>
      </c>
      <c r="J62" s="35"/>
      <c r="K62" s="56">
        <f>IF(OR(A62="",F62="Done",E62&lt;WEEKLY!$B$5,E62&gt;WEEKLY!$B$5+6),999999,H62)</f>
        <v>999999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35"/>
      <c r="B63" s="35"/>
      <c r="C63" s="35"/>
      <c r="D63" s="37"/>
      <c r="E63" s="37"/>
      <c r="F63" s="35"/>
      <c r="G63" s="35"/>
      <c r="H63" s="39">
        <f t="shared" si="1"/>
        <v>999999</v>
      </c>
      <c r="I63" s="39" t="str">
        <f t="shared" si="2"/>
        <v/>
      </c>
      <c r="J63" s="35"/>
      <c r="K63" s="56">
        <f>IF(OR(A63="",F63="Done",E63&lt;WEEKLY!$B$5,E63&gt;WEEKLY!$B$5+6),999999,H63)</f>
        <v>999999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35"/>
      <c r="B64" s="35"/>
      <c r="C64" s="35"/>
      <c r="D64" s="37"/>
      <c r="E64" s="37"/>
      <c r="F64" s="35"/>
      <c r="G64" s="35"/>
      <c r="H64" s="39">
        <f t="shared" si="1"/>
        <v>999999</v>
      </c>
      <c r="I64" s="39" t="str">
        <f t="shared" si="2"/>
        <v/>
      </c>
      <c r="J64" s="35"/>
      <c r="K64" s="56">
        <f>IF(OR(A64="",F64="Done",E64&lt;WEEKLY!$B$5,E64&gt;WEEKLY!$B$5+6),999999,H64)</f>
        <v>999999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35"/>
      <c r="B65" s="35"/>
      <c r="C65" s="35"/>
      <c r="D65" s="37"/>
      <c r="E65" s="37"/>
      <c r="F65" s="35"/>
      <c r="G65" s="35"/>
      <c r="H65" s="39">
        <f t="shared" si="1"/>
        <v>999999</v>
      </c>
      <c r="I65" s="39" t="str">
        <f t="shared" si="2"/>
        <v/>
      </c>
      <c r="J65" s="35"/>
      <c r="K65" s="56">
        <f>IF(OR(A65="",F65="Done",E65&lt;WEEKLY!$B$5,E65&gt;WEEKLY!$B$5+6),999999,H65)</f>
        <v>999999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35"/>
      <c r="B66" s="35"/>
      <c r="C66" s="35"/>
      <c r="D66" s="37"/>
      <c r="E66" s="37"/>
      <c r="F66" s="35"/>
      <c r="G66" s="35"/>
      <c r="H66" s="39">
        <f t="shared" si="1"/>
        <v>999999</v>
      </c>
      <c r="I66" s="39" t="str">
        <f t="shared" si="2"/>
        <v/>
      </c>
      <c r="J66" s="35"/>
      <c r="K66" s="56">
        <f>IF(OR(A66="",F66="Done",E66&lt;WEEKLY!$B$5,E66&gt;WEEKLY!$B$5+6),999999,H66)</f>
        <v>999999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35"/>
      <c r="B67" s="35"/>
      <c r="C67" s="35"/>
      <c r="D67" s="37"/>
      <c r="E67" s="37"/>
      <c r="F67" s="35"/>
      <c r="G67" s="35"/>
      <c r="H67" s="39">
        <f t="shared" si="1"/>
        <v>999999</v>
      </c>
      <c r="I67" s="39" t="str">
        <f t="shared" si="2"/>
        <v/>
      </c>
      <c r="J67" s="35"/>
      <c r="K67" s="56">
        <f>IF(OR(A67="",F67="Done",E67&lt;WEEKLY!$B$5,E67&gt;WEEKLY!$B$5+6),999999,H67)</f>
        <v>999999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35"/>
      <c r="B68" s="35"/>
      <c r="C68" s="35"/>
      <c r="D68" s="37"/>
      <c r="E68" s="37"/>
      <c r="F68" s="35"/>
      <c r="G68" s="35"/>
      <c r="H68" s="39">
        <f t="shared" si="1"/>
        <v>999999</v>
      </c>
      <c r="I68" s="39" t="str">
        <f t="shared" si="2"/>
        <v/>
      </c>
      <c r="J68" s="35"/>
      <c r="K68" s="56">
        <f>IF(OR(A68="",F68="Done",E68&lt;WEEKLY!$B$5,E68&gt;WEEKLY!$B$5+6),999999,H68)</f>
        <v>999999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35"/>
      <c r="B69" s="35"/>
      <c r="C69" s="35"/>
      <c r="D69" s="37"/>
      <c r="E69" s="37"/>
      <c r="F69" s="35"/>
      <c r="G69" s="35"/>
      <c r="H69" s="39">
        <f t="shared" si="1"/>
        <v>999999</v>
      </c>
      <c r="I69" s="39" t="str">
        <f t="shared" si="2"/>
        <v/>
      </c>
      <c r="J69" s="35"/>
      <c r="K69" s="56">
        <f>IF(OR(A69="",F69="Done",E69&lt;WEEKLY!$B$5,E69&gt;WEEKLY!$B$5+6),999999,H69)</f>
        <v>999999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35"/>
      <c r="B70" s="35"/>
      <c r="C70" s="35"/>
      <c r="D70" s="37"/>
      <c r="E70" s="37"/>
      <c r="F70" s="35"/>
      <c r="G70" s="35"/>
      <c r="H70" s="39">
        <f t="shared" si="1"/>
        <v>999999</v>
      </c>
      <c r="I70" s="39" t="str">
        <f t="shared" si="2"/>
        <v/>
      </c>
      <c r="J70" s="35"/>
      <c r="K70" s="56">
        <f>IF(OR(A70="",F70="Done",E70&lt;WEEKLY!$B$5,E70&gt;WEEKLY!$B$5+6),999999,H70)</f>
        <v>999999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35"/>
      <c r="B71" s="35"/>
      <c r="C71" s="35"/>
      <c r="D71" s="37"/>
      <c r="E71" s="37"/>
      <c r="F71" s="35"/>
      <c r="G71" s="35"/>
      <c r="H71" s="39">
        <f t="shared" si="1"/>
        <v>999999</v>
      </c>
      <c r="I71" s="39" t="str">
        <f t="shared" si="2"/>
        <v/>
      </c>
      <c r="J71" s="35"/>
      <c r="K71" s="56">
        <f>IF(OR(A71="",F71="Done",E71&lt;WEEKLY!$B$5,E71&gt;WEEKLY!$B$5+6),999999,H71)</f>
        <v>999999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35"/>
      <c r="B72" s="35"/>
      <c r="C72" s="35"/>
      <c r="D72" s="37"/>
      <c r="E72" s="37"/>
      <c r="F72" s="35"/>
      <c r="G72" s="35"/>
      <c r="H72" s="39">
        <f t="shared" si="1"/>
        <v>999999</v>
      </c>
      <c r="I72" s="39" t="str">
        <f t="shared" si="2"/>
        <v/>
      </c>
      <c r="J72" s="35"/>
      <c r="K72" s="56">
        <f>IF(OR(A72="",F72="Done",E72&lt;WEEKLY!$B$5,E72&gt;WEEKLY!$B$5+6),999999,H72)</f>
        <v>999999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35"/>
      <c r="B73" s="35"/>
      <c r="C73" s="35"/>
      <c r="D73" s="37"/>
      <c r="E73" s="37"/>
      <c r="F73" s="35"/>
      <c r="G73" s="35"/>
      <c r="H73" s="39">
        <f t="shared" si="1"/>
        <v>999999</v>
      </c>
      <c r="I73" s="39" t="str">
        <f t="shared" si="2"/>
        <v/>
      </c>
      <c r="J73" s="35"/>
      <c r="K73" s="56">
        <f>IF(OR(A73="",F73="Done",E73&lt;WEEKLY!$B$5,E73&gt;WEEKLY!$B$5+6),999999,H73)</f>
        <v>999999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35"/>
      <c r="B74" s="35"/>
      <c r="C74" s="35"/>
      <c r="D74" s="37"/>
      <c r="E74" s="37"/>
      <c r="F74" s="35"/>
      <c r="G74" s="35"/>
      <c r="H74" s="39">
        <f t="shared" si="1"/>
        <v>999999</v>
      </c>
      <c r="I74" s="39" t="str">
        <f t="shared" si="2"/>
        <v/>
      </c>
      <c r="J74" s="35"/>
      <c r="K74" s="56">
        <f>IF(OR(A74="",F74="Done",E74&lt;WEEKLY!$B$5,E74&gt;WEEKLY!$B$5+6),999999,H74)</f>
        <v>999999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35"/>
      <c r="B75" s="35"/>
      <c r="C75" s="35"/>
      <c r="D75" s="37"/>
      <c r="E75" s="37"/>
      <c r="F75" s="35"/>
      <c r="G75" s="35"/>
      <c r="H75" s="39">
        <f t="shared" si="1"/>
        <v>999999</v>
      </c>
      <c r="I75" s="39" t="str">
        <f t="shared" si="2"/>
        <v/>
      </c>
      <c r="J75" s="35"/>
      <c r="K75" s="56">
        <f>IF(OR(A75="",F75="Done",E75&lt;WEEKLY!$B$5,E75&gt;WEEKLY!$B$5+6),999999,H75)</f>
        <v>999999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35"/>
      <c r="B76" s="35"/>
      <c r="C76" s="35"/>
      <c r="D76" s="37"/>
      <c r="E76" s="37"/>
      <c r="F76" s="35"/>
      <c r="G76" s="35"/>
      <c r="H76" s="39">
        <f t="shared" si="1"/>
        <v>999999</v>
      </c>
      <c r="I76" s="39" t="str">
        <f t="shared" si="2"/>
        <v/>
      </c>
      <c r="J76" s="35"/>
      <c r="K76" s="56">
        <f>IF(OR(A76="",F76="Done",E76&lt;WEEKLY!$B$5,E76&gt;WEEKLY!$B$5+6),999999,H76)</f>
        <v>999999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35"/>
      <c r="B77" s="35"/>
      <c r="C77" s="35"/>
      <c r="D77" s="37"/>
      <c r="E77" s="37"/>
      <c r="F77" s="35"/>
      <c r="G77" s="35"/>
      <c r="H77" s="39">
        <f t="shared" si="1"/>
        <v>999999</v>
      </c>
      <c r="I77" s="39" t="str">
        <f t="shared" si="2"/>
        <v/>
      </c>
      <c r="J77" s="35"/>
      <c r="K77" s="56">
        <f>IF(OR(A77="",F77="Done",E77&lt;WEEKLY!$B$5,E77&gt;WEEKLY!$B$5+6),999999,H77)</f>
        <v>999999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35"/>
      <c r="B78" s="35"/>
      <c r="C78" s="35"/>
      <c r="D78" s="37"/>
      <c r="E78" s="37"/>
      <c r="F78" s="35"/>
      <c r="G78" s="35"/>
      <c r="H78" s="39">
        <f t="shared" si="1"/>
        <v>999999</v>
      </c>
      <c r="I78" s="39" t="str">
        <f t="shared" si="2"/>
        <v/>
      </c>
      <c r="J78" s="35"/>
      <c r="K78" s="56">
        <f>IF(OR(A78="",F78="Done",E78&lt;WEEKLY!$B$5,E78&gt;WEEKLY!$B$5+6),999999,H78)</f>
        <v>999999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35"/>
      <c r="B79" s="35"/>
      <c r="C79" s="35"/>
      <c r="D79" s="37"/>
      <c r="E79" s="37"/>
      <c r="F79" s="35"/>
      <c r="G79" s="35"/>
      <c r="H79" s="39">
        <f t="shared" si="1"/>
        <v>999999</v>
      </c>
      <c r="I79" s="39" t="str">
        <f t="shared" si="2"/>
        <v/>
      </c>
      <c r="J79" s="35"/>
      <c r="K79" s="56">
        <f>IF(OR(A79="",F79="Done",E79&lt;WEEKLY!$B$5,E79&gt;WEEKLY!$B$5+6),999999,H79)</f>
        <v>999999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35"/>
      <c r="B80" s="35"/>
      <c r="C80" s="35"/>
      <c r="D80" s="37"/>
      <c r="E80" s="37"/>
      <c r="F80" s="35"/>
      <c r="G80" s="35"/>
      <c r="H80" s="39">
        <f t="shared" si="1"/>
        <v>999999</v>
      </c>
      <c r="I80" s="39" t="str">
        <f t="shared" si="2"/>
        <v/>
      </c>
      <c r="J80" s="35"/>
      <c r="K80" s="56">
        <f>IF(OR(A80="",F80="Done",E80&lt;WEEKLY!$B$5,E80&gt;WEEKLY!$B$5+6),999999,H80)</f>
        <v>999999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35"/>
      <c r="B81" s="35"/>
      <c r="C81" s="35"/>
      <c r="D81" s="37"/>
      <c r="E81" s="37"/>
      <c r="F81" s="35"/>
      <c r="G81" s="35"/>
      <c r="H81" s="39">
        <f t="shared" si="1"/>
        <v>999999</v>
      </c>
      <c r="I81" s="39" t="str">
        <f t="shared" si="2"/>
        <v/>
      </c>
      <c r="J81" s="35"/>
      <c r="K81" s="56">
        <f>IF(OR(A81="",F81="Done",E81&lt;WEEKLY!$B$5,E81&gt;WEEKLY!$B$5+6),999999,H81)</f>
        <v>999999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35"/>
      <c r="B82" s="35"/>
      <c r="C82" s="35"/>
      <c r="D82" s="37"/>
      <c r="E82" s="37"/>
      <c r="F82" s="35"/>
      <c r="G82" s="35"/>
      <c r="H82" s="39">
        <f t="shared" si="1"/>
        <v>999999</v>
      </c>
      <c r="I82" s="39" t="str">
        <f t="shared" si="2"/>
        <v/>
      </c>
      <c r="J82" s="35"/>
      <c r="K82" s="56">
        <f>IF(OR(A82="",F82="Done",E82&lt;WEEKLY!$B$5,E82&gt;WEEKLY!$B$5+6),999999,H82)</f>
        <v>999999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35"/>
      <c r="B83" s="35"/>
      <c r="C83" s="35"/>
      <c r="D83" s="37"/>
      <c r="E83" s="37"/>
      <c r="F83" s="35"/>
      <c r="G83" s="35"/>
      <c r="H83" s="39">
        <f t="shared" si="1"/>
        <v>999999</v>
      </c>
      <c r="I83" s="39" t="str">
        <f t="shared" si="2"/>
        <v/>
      </c>
      <c r="J83" s="35"/>
      <c r="K83" s="56">
        <f>IF(OR(A83="",F83="Done",E83&lt;WEEKLY!$B$5,E83&gt;WEEKLY!$B$5+6),999999,H83)</f>
        <v>999999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35"/>
      <c r="B84" s="35"/>
      <c r="C84" s="35"/>
      <c r="D84" s="37"/>
      <c r="E84" s="37"/>
      <c r="F84" s="35"/>
      <c r="G84" s="35"/>
      <c r="H84" s="39">
        <f t="shared" si="1"/>
        <v>999999</v>
      </c>
      <c r="I84" s="39" t="str">
        <f t="shared" si="2"/>
        <v/>
      </c>
      <c r="J84" s="35"/>
      <c r="K84" s="56">
        <f>IF(OR(A84="",F84="Done",E84&lt;WEEKLY!$B$5,E84&gt;WEEKLY!$B$5+6),999999,H84)</f>
        <v>999999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35"/>
      <c r="B85" s="35"/>
      <c r="C85" s="35"/>
      <c r="D85" s="37"/>
      <c r="E85" s="37"/>
      <c r="F85" s="35"/>
      <c r="G85" s="35"/>
      <c r="H85" s="39">
        <f t="shared" si="1"/>
        <v>999999</v>
      </c>
      <c r="I85" s="39" t="str">
        <f t="shared" si="2"/>
        <v/>
      </c>
      <c r="J85" s="35"/>
      <c r="K85" s="56">
        <f>IF(OR(A85="",F85="Done",E85&lt;WEEKLY!$B$5,E85&gt;WEEKLY!$B$5+6),999999,H85)</f>
        <v>999999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35"/>
      <c r="B86" s="35"/>
      <c r="C86" s="35"/>
      <c r="D86" s="37"/>
      <c r="E86" s="37"/>
      <c r="F86" s="35"/>
      <c r="G86" s="35"/>
      <c r="H86" s="39">
        <f t="shared" si="1"/>
        <v>999999</v>
      </c>
      <c r="I86" s="39" t="str">
        <f t="shared" si="2"/>
        <v/>
      </c>
      <c r="J86" s="35"/>
      <c r="K86" s="56">
        <f>IF(OR(A86="",F86="Done",E86&lt;WEEKLY!$B$5,E86&gt;WEEKLY!$B$5+6),999999,H86)</f>
        <v>999999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35"/>
      <c r="B87" s="35"/>
      <c r="C87" s="35"/>
      <c r="D87" s="37"/>
      <c r="E87" s="37"/>
      <c r="F87" s="35"/>
      <c r="G87" s="35"/>
      <c r="H87" s="39">
        <f t="shared" si="1"/>
        <v>999999</v>
      </c>
      <c r="I87" s="39" t="str">
        <f t="shared" si="2"/>
        <v/>
      </c>
      <c r="J87" s="35"/>
      <c r="K87" s="56">
        <f>IF(OR(A87="",F87="Done",E87&lt;WEEKLY!$B$5,E87&gt;WEEKLY!$B$5+6),999999,H87)</f>
        <v>999999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35"/>
      <c r="B88" s="35"/>
      <c r="C88" s="35"/>
      <c r="D88" s="37"/>
      <c r="E88" s="37"/>
      <c r="F88" s="35"/>
      <c r="G88" s="35"/>
      <c r="H88" s="39">
        <f t="shared" si="1"/>
        <v>999999</v>
      </c>
      <c r="I88" s="39" t="str">
        <f t="shared" si="2"/>
        <v/>
      </c>
      <c r="J88" s="35"/>
      <c r="K88" s="56">
        <f>IF(OR(A88="",F88="Done",E88&lt;WEEKLY!$B$5,E88&gt;WEEKLY!$B$5+6),999999,H88)</f>
        <v>999999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35"/>
      <c r="B89" s="35"/>
      <c r="C89" s="35"/>
      <c r="D89" s="37"/>
      <c r="E89" s="37"/>
      <c r="F89" s="35"/>
      <c r="G89" s="35"/>
      <c r="H89" s="39">
        <f t="shared" si="1"/>
        <v>999999</v>
      </c>
      <c r="I89" s="39" t="str">
        <f t="shared" si="2"/>
        <v/>
      </c>
      <c r="J89" s="35"/>
      <c r="K89" s="56">
        <f>IF(OR(A89="",F89="Done",E89&lt;WEEKLY!$B$5,E89&gt;WEEKLY!$B$5+6),999999,H89)</f>
        <v>999999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35"/>
      <c r="B90" s="35"/>
      <c r="C90" s="35"/>
      <c r="D90" s="37"/>
      <c r="E90" s="37"/>
      <c r="F90" s="35"/>
      <c r="G90" s="35"/>
      <c r="H90" s="39">
        <f t="shared" si="1"/>
        <v>999999</v>
      </c>
      <c r="I90" s="39" t="str">
        <f t="shared" si="2"/>
        <v/>
      </c>
      <c r="J90" s="35"/>
      <c r="K90" s="56">
        <f>IF(OR(A90="",F90="Done",E90&lt;WEEKLY!$B$5,E90&gt;WEEKLY!$B$5+6),999999,H90)</f>
        <v>999999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35"/>
      <c r="B91" s="35"/>
      <c r="C91" s="35"/>
      <c r="D91" s="37"/>
      <c r="E91" s="37"/>
      <c r="F91" s="35"/>
      <c r="G91" s="35"/>
      <c r="H91" s="39">
        <f t="shared" si="1"/>
        <v>999999</v>
      </c>
      <c r="I91" s="39" t="str">
        <f t="shared" si="2"/>
        <v/>
      </c>
      <c r="J91" s="35"/>
      <c r="K91" s="56">
        <f>IF(OR(A91="",F91="Done",E91&lt;WEEKLY!$B$5,E91&gt;WEEKLY!$B$5+6),999999,H91)</f>
        <v>999999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35"/>
      <c r="B92" s="35"/>
      <c r="C92" s="35"/>
      <c r="D92" s="37"/>
      <c r="E92" s="37"/>
      <c r="F92" s="35"/>
      <c r="G92" s="35"/>
      <c r="H92" s="39">
        <f t="shared" si="1"/>
        <v>999999</v>
      </c>
      <c r="I92" s="39" t="str">
        <f t="shared" si="2"/>
        <v/>
      </c>
      <c r="J92" s="35"/>
      <c r="K92" s="56">
        <f>IF(OR(A92="",F92="Done",E92&lt;WEEKLY!$B$5,E92&gt;WEEKLY!$B$5+6),999999,H92)</f>
        <v>999999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35"/>
      <c r="B93" s="35"/>
      <c r="C93" s="35"/>
      <c r="D93" s="37"/>
      <c r="E93" s="37"/>
      <c r="F93" s="35"/>
      <c r="G93" s="35"/>
      <c r="H93" s="39">
        <f t="shared" si="1"/>
        <v>999999</v>
      </c>
      <c r="I93" s="39" t="str">
        <f t="shared" si="2"/>
        <v/>
      </c>
      <c r="J93" s="35"/>
      <c r="K93" s="56">
        <f>IF(OR(A93="",F93="Done",E93&lt;WEEKLY!$B$5,E93&gt;WEEKLY!$B$5+6),999999,H93)</f>
        <v>999999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35"/>
      <c r="B94" s="35"/>
      <c r="C94" s="35"/>
      <c r="D94" s="37"/>
      <c r="E94" s="37"/>
      <c r="F94" s="35"/>
      <c r="G94" s="35"/>
      <c r="H94" s="39">
        <f t="shared" si="1"/>
        <v>999999</v>
      </c>
      <c r="I94" s="39" t="str">
        <f t="shared" si="2"/>
        <v/>
      </c>
      <c r="J94" s="35"/>
      <c r="K94" s="56">
        <f>IF(OR(A94="",F94="Done",E94&lt;WEEKLY!$B$5,E94&gt;WEEKLY!$B$5+6),999999,H94)</f>
        <v>999999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35"/>
      <c r="B95" s="35"/>
      <c r="C95" s="35"/>
      <c r="D95" s="37"/>
      <c r="E95" s="37"/>
      <c r="F95" s="35"/>
      <c r="G95" s="35"/>
      <c r="H95" s="39">
        <f t="shared" si="1"/>
        <v>999999</v>
      </c>
      <c r="I95" s="39" t="str">
        <f t="shared" si="2"/>
        <v/>
      </c>
      <c r="J95" s="35"/>
      <c r="K95" s="56">
        <f>IF(OR(A95="",F95="Done",E95&lt;WEEKLY!$B$5,E95&gt;WEEKLY!$B$5+6),999999,H95)</f>
        <v>999999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35"/>
      <c r="B96" s="35"/>
      <c r="C96" s="35"/>
      <c r="D96" s="37"/>
      <c r="E96" s="37"/>
      <c r="F96" s="35"/>
      <c r="G96" s="35"/>
      <c r="H96" s="39">
        <f t="shared" si="1"/>
        <v>999999</v>
      </c>
      <c r="I96" s="39" t="str">
        <f t="shared" si="2"/>
        <v/>
      </c>
      <c r="J96" s="35"/>
      <c r="K96" s="56">
        <f>IF(OR(A96="",F96="Done",E96&lt;WEEKLY!$B$5,E96&gt;WEEKLY!$B$5+6),999999,H96)</f>
        <v>999999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35"/>
      <c r="B97" s="35"/>
      <c r="C97" s="35"/>
      <c r="D97" s="37"/>
      <c r="E97" s="37"/>
      <c r="F97" s="35"/>
      <c r="G97" s="35"/>
      <c r="H97" s="39">
        <f t="shared" si="1"/>
        <v>999999</v>
      </c>
      <c r="I97" s="39" t="str">
        <f t="shared" si="2"/>
        <v/>
      </c>
      <c r="J97" s="35"/>
      <c r="K97" s="56">
        <f>IF(OR(A97="",F97="Done",E97&lt;WEEKLY!$B$5,E97&gt;WEEKLY!$B$5+6),999999,H97)</f>
        <v>999999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35"/>
      <c r="B98" s="35"/>
      <c r="C98" s="35"/>
      <c r="D98" s="37"/>
      <c r="E98" s="37"/>
      <c r="F98" s="35"/>
      <c r="G98" s="35"/>
      <c r="H98" s="39">
        <f t="shared" si="1"/>
        <v>999999</v>
      </c>
      <c r="I98" s="39" t="str">
        <f t="shared" si="2"/>
        <v/>
      </c>
      <c r="J98" s="35"/>
      <c r="K98" s="56">
        <f>IF(OR(A98="",F98="Done",E98&lt;WEEKLY!$B$5,E98&gt;WEEKLY!$B$5+6),999999,H98)</f>
        <v>999999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35"/>
      <c r="B99" s="35"/>
      <c r="C99" s="35"/>
      <c r="D99" s="37"/>
      <c r="E99" s="37"/>
      <c r="F99" s="35"/>
      <c r="G99" s="35"/>
      <c r="H99" s="39">
        <f t="shared" si="1"/>
        <v>999999</v>
      </c>
      <c r="I99" s="39" t="str">
        <f t="shared" si="2"/>
        <v/>
      </c>
      <c r="J99" s="35"/>
      <c r="K99" s="56">
        <f>IF(OR(A99="",F99="Done",E99&lt;WEEKLY!$B$5,E99&gt;WEEKLY!$B$5+6),999999,H99)</f>
        <v>999999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35"/>
      <c r="B100" s="35"/>
      <c r="C100" s="35"/>
      <c r="D100" s="37"/>
      <c r="E100" s="37"/>
      <c r="F100" s="35"/>
      <c r="G100" s="35"/>
      <c r="H100" s="39">
        <f t="shared" si="1"/>
        <v>999999</v>
      </c>
      <c r="I100" s="39" t="str">
        <f t="shared" si="2"/>
        <v/>
      </c>
      <c r="J100" s="35"/>
      <c r="K100" s="56">
        <f>IF(OR(A100="",F100="Done",E100&lt;WEEKLY!$B$5,E100&gt;WEEKLY!$B$5+6),999999,H100)</f>
        <v>999999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35"/>
      <c r="B101" s="35"/>
      <c r="C101" s="35"/>
      <c r="D101" s="37"/>
      <c r="E101" s="37"/>
      <c r="F101" s="35"/>
      <c r="G101" s="35"/>
      <c r="H101" s="39">
        <f t="shared" si="1"/>
        <v>999999</v>
      </c>
      <c r="I101" s="39" t="str">
        <f t="shared" si="2"/>
        <v/>
      </c>
      <c r="J101" s="35"/>
      <c r="K101" s="56">
        <f>IF(OR(A101="",F101="Done",E101&lt;WEEKLY!$B$5,E101&gt;WEEKLY!$B$5+6),999999,H101)</f>
        <v>999999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35"/>
      <c r="B102" s="35"/>
      <c r="C102" s="35"/>
      <c r="D102" s="37"/>
      <c r="E102" s="37"/>
      <c r="F102" s="35"/>
      <c r="G102" s="35"/>
      <c r="H102" s="39">
        <f t="shared" si="1"/>
        <v>999999</v>
      </c>
      <c r="I102" s="39" t="str">
        <f t="shared" si="2"/>
        <v/>
      </c>
      <c r="J102" s="35"/>
      <c r="K102" s="56">
        <f>IF(OR(A102="",F102="Done",E102&lt;WEEKLY!$B$5,E102&gt;WEEKLY!$B$5+6),999999,H102)</f>
        <v>999999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35"/>
      <c r="B103" s="35"/>
      <c r="C103" s="35"/>
      <c r="D103" s="37"/>
      <c r="E103" s="37"/>
      <c r="F103" s="35"/>
      <c r="G103" s="35"/>
      <c r="H103" s="39">
        <f t="shared" si="1"/>
        <v>999999</v>
      </c>
      <c r="I103" s="39" t="str">
        <f t="shared" si="2"/>
        <v/>
      </c>
      <c r="J103" s="35"/>
      <c r="K103" s="56">
        <f>IF(OR(A103="",F103="Done",E103&lt;WEEKLY!$B$5,E103&gt;WEEKLY!$B$5+6),999999,H103)</f>
        <v>999999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35"/>
      <c r="B104" s="35"/>
      <c r="C104" s="35"/>
      <c r="D104" s="37"/>
      <c r="E104" s="37"/>
      <c r="F104" s="35"/>
      <c r="G104" s="35"/>
      <c r="H104" s="39">
        <f t="shared" si="1"/>
        <v>999999</v>
      </c>
      <c r="I104" s="39" t="str">
        <f t="shared" si="2"/>
        <v/>
      </c>
      <c r="J104" s="35"/>
      <c r="K104" s="56">
        <f>IF(OR(A104="",F104="Done",E104&lt;WEEKLY!$B$5,E104&gt;WEEKLY!$B$5+6),999999,H104)</f>
        <v>999999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35"/>
      <c r="B105" s="35"/>
      <c r="C105" s="35"/>
      <c r="D105" s="37"/>
      <c r="E105" s="37"/>
      <c r="F105" s="35"/>
      <c r="G105" s="35"/>
      <c r="H105" s="39">
        <f t="shared" si="1"/>
        <v>999999</v>
      </c>
      <c r="I105" s="39" t="str">
        <f t="shared" si="2"/>
        <v/>
      </c>
      <c r="J105" s="35"/>
      <c r="K105" s="56">
        <f>IF(OR(A105="",F105="Done",E105&lt;WEEKLY!$B$5,E105&gt;WEEKLY!$B$5+6),999999,H105)</f>
        <v>999999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35"/>
      <c r="B106" s="35"/>
      <c r="C106" s="35"/>
      <c r="D106" s="37"/>
      <c r="E106" s="37"/>
      <c r="F106" s="35"/>
      <c r="G106" s="35"/>
      <c r="H106" s="39">
        <f t="shared" si="1"/>
        <v>999999</v>
      </c>
      <c r="I106" s="39" t="str">
        <f t="shared" si="2"/>
        <v/>
      </c>
      <c r="J106" s="35"/>
      <c r="K106" s="56">
        <f>IF(OR(A106="",F106="Done",E106&lt;WEEKLY!$B$5,E106&gt;WEEKLY!$B$5+6),999999,H106)</f>
        <v>999999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35"/>
      <c r="B107" s="35"/>
      <c r="C107" s="35"/>
      <c r="D107" s="37"/>
      <c r="E107" s="37"/>
      <c r="F107" s="35"/>
      <c r="G107" s="35"/>
      <c r="H107" s="39">
        <f t="shared" si="1"/>
        <v>999999</v>
      </c>
      <c r="I107" s="39" t="str">
        <f t="shared" si="2"/>
        <v/>
      </c>
      <c r="J107" s="35"/>
      <c r="K107" s="56">
        <f>IF(OR(A107="",F107="Done",E107&lt;WEEKLY!$B$5,E107&gt;WEEKLY!$B$5+6),999999,H107)</f>
        <v>999999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35"/>
      <c r="B108" s="35"/>
      <c r="C108" s="35"/>
      <c r="D108" s="37"/>
      <c r="E108" s="37"/>
      <c r="F108" s="35"/>
      <c r="G108" s="35"/>
      <c r="H108" s="39">
        <f t="shared" si="1"/>
        <v>999999</v>
      </c>
      <c r="I108" s="39" t="str">
        <f t="shared" si="2"/>
        <v/>
      </c>
      <c r="J108" s="35"/>
      <c r="K108" s="56">
        <f>IF(OR(A108="",F108="Done",E108&lt;WEEKLY!$B$5,E108&gt;WEEKLY!$B$5+6),999999,H108)</f>
        <v>999999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35"/>
      <c r="B109" s="35"/>
      <c r="C109" s="35"/>
      <c r="D109" s="37"/>
      <c r="E109" s="37"/>
      <c r="F109" s="35"/>
      <c r="G109" s="35"/>
      <c r="H109" s="39">
        <f t="shared" si="1"/>
        <v>999999</v>
      </c>
      <c r="I109" s="39" t="str">
        <f t="shared" si="2"/>
        <v/>
      </c>
      <c r="J109" s="35"/>
      <c r="K109" s="56">
        <f>IF(OR(A109="",F109="Done",E109&lt;WEEKLY!$B$5,E109&gt;WEEKLY!$B$5+6),999999,H109)</f>
        <v>999999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35"/>
      <c r="B110" s="35"/>
      <c r="C110" s="35"/>
      <c r="D110" s="37"/>
      <c r="E110" s="37"/>
      <c r="F110" s="35"/>
      <c r="G110" s="35"/>
      <c r="H110" s="39">
        <f t="shared" si="1"/>
        <v>999999</v>
      </c>
      <c r="I110" s="39" t="str">
        <f t="shared" si="2"/>
        <v/>
      </c>
      <c r="J110" s="35"/>
      <c r="K110" s="56">
        <f>IF(OR(A110="",F110="Done",E110&lt;WEEKLY!$B$5,E110&gt;WEEKLY!$B$5+6),999999,H110)</f>
        <v>999999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35"/>
      <c r="B111" s="35"/>
      <c r="C111" s="35"/>
      <c r="D111" s="37"/>
      <c r="E111" s="37"/>
      <c r="F111" s="35"/>
      <c r="G111" s="35"/>
      <c r="H111" s="39">
        <f t="shared" si="1"/>
        <v>999999</v>
      </c>
      <c r="I111" s="39" t="str">
        <f t="shared" si="2"/>
        <v/>
      </c>
      <c r="J111" s="35"/>
      <c r="K111" s="56">
        <f>IF(OR(A111="",F111="Done",E111&lt;WEEKLY!$B$5,E111&gt;WEEKLY!$B$5+6),999999,H111)</f>
        <v>999999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35"/>
      <c r="B112" s="35"/>
      <c r="C112" s="35"/>
      <c r="D112" s="37"/>
      <c r="E112" s="37"/>
      <c r="F112" s="35"/>
      <c r="G112" s="35"/>
      <c r="H112" s="39">
        <f t="shared" si="1"/>
        <v>999999</v>
      </c>
      <c r="I112" s="39" t="str">
        <f t="shared" si="2"/>
        <v/>
      </c>
      <c r="J112" s="35"/>
      <c r="K112" s="56">
        <f>IF(OR(A112="",F112="Done",E112&lt;WEEKLY!$B$5,E112&gt;WEEKLY!$B$5+6),999999,H112)</f>
        <v>999999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35"/>
      <c r="B113" s="35"/>
      <c r="C113" s="35"/>
      <c r="D113" s="37"/>
      <c r="E113" s="37"/>
      <c r="F113" s="35"/>
      <c r="G113" s="35"/>
      <c r="H113" s="39">
        <f t="shared" si="1"/>
        <v>999999</v>
      </c>
      <c r="I113" s="39" t="str">
        <f t="shared" si="2"/>
        <v/>
      </c>
      <c r="J113" s="35"/>
      <c r="K113" s="56">
        <f>IF(OR(A113="",F113="Done",E113&lt;WEEKLY!$B$5,E113&gt;WEEKLY!$B$5+6),999999,H113)</f>
        <v>999999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35"/>
      <c r="B114" s="35"/>
      <c r="C114" s="35"/>
      <c r="D114" s="37"/>
      <c r="E114" s="37"/>
      <c r="F114" s="35"/>
      <c r="G114" s="35"/>
      <c r="H114" s="39">
        <f t="shared" si="1"/>
        <v>999999</v>
      </c>
      <c r="I114" s="39" t="str">
        <f t="shared" si="2"/>
        <v/>
      </c>
      <c r="J114" s="35"/>
      <c r="K114" s="56">
        <f>IF(OR(A114="",F114="Done",E114&lt;WEEKLY!$B$5,E114&gt;WEEKLY!$B$5+6),999999,H114)</f>
        <v>999999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35"/>
      <c r="B115" s="35"/>
      <c r="C115" s="35"/>
      <c r="D115" s="37"/>
      <c r="E115" s="37"/>
      <c r="F115" s="35"/>
      <c r="G115" s="35"/>
      <c r="H115" s="39">
        <f t="shared" si="1"/>
        <v>999999</v>
      </c>
      <c r="I115" s="39" t="str">
        <f t="shared" si="2"/>
        <v/>
      </c>
      <c r="J115" s="35"/>
      <c r="K115" s="56">
        <f>IF(OR(A115="",F115="Done",E115&lt;WEEKLY!$B$5,E115&gt;WEEKLY!$B$5+6),999999,H115)</f>
        <v>999999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35"/>
      <c r="B116" s="35"/>
      <c r="C116" s="35"/>
      <c r="D116" s="37"/>
      <c r="E116" s="37"/>
      <c r="F116" s="35"/>
      <c r="G116" s="35"/>
      <c r="H116" s="39">
        <f t="shared" si="1"/>
        <v>999999</v>
      </c>
      <c r="I116" s="39" t="str">
        <f t="shared" si="2"/>
        <v/>
      </c>
      <c r="J116" s="35"/>
      <c r="K116" s="56">
        <f>IF(OR(A116="",F116="Done",E116&lt;WEEKLY!$B$5,E116&gt;WEEKLY!$B$5+6),999999,H116)</f>
        <v>999999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35"/>
      <c r="B117" s="35"/>
      <c r="C117" s="35"/>
      <c r="D117" s="37"/>
      <c r="E117" s="37"/>
      <c r="F117" s="35"/>
      <c r="G117" s="35"/>
      <c r="H117" s="39">
        <f t="shared" si="1"/>
        <v>999999</v>
      </c>
      <c r="I117" s="39" t="str">
        <f t="shared" si="2"/>
        <v/>
      </c>
      <c r="J117" s="35"/>
      <c r="K117" s="56">
        <f>IF(OR(A117="",F117="Done",E117&lt;WEEKLY!$B$5,E117&gt;WEEKLY!$B$5+6),999999,H117)</f>
        <v>999999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35"/>
      <c r="B118" s="35"/>
      <c r="C118" s="35"/>
      <c r="D118" s="37"/>
      <c r="E118" s="37"/>
      <c r="F118" s="35"/>
      <c r="G118" s="35"/>
      <c r="H118" s="39">
        <f t="shared" si="1"/>
        <v>999999</v>
      </c>
      <c r="I118" s="39" t="str">
        <f t="shared" si="2"/>
        <v/>
      </c>
      <c r="J118" s="35"/>
      <c r="K118" s="56">
        <f>IF(OR(A118="",F118="Done",E118&lt;WEEKLY!$B$5,E118&gt;WEEKLY!$B$5+6),999999,H118)</f>
        <v>999999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35"/>
      <c r="B119" s="35"/>
      <c r="C119" s="35"/>
      <c r="D119" s="37"/>
      <c r="E119" s="37"/>
      <c r="F119" s="35"/>
      <c r="G119" s="35"/>
      <c r="H119" s="39">
        <f t="shared" si="1"/>
        <v>999999</v>
      </c>
      <c r="I119" s="39" t="str">
        <f t="shared" si="2"/>
        <v/>
      </c>
      <c r="J119" s="35"/>
      <c r="K119" s="56">
        <f>IF(OR(A119="",F119="Done",E119&lt;WEEKLY!$B$5,E119&gt;WEEKLY!$B$5+6),999999,H119)</f>
        <v>999999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35"/>
      <c r="B120" s="35"/>
      <c r="C120" s="35"/>
      <c r="D120" s="37"/>
      <c r="E120" s="37"/>
      <c r="F120" s="35"/>
      <c r="G120" s="35"/>
      <c r="H120" s="39">
        <f t="shared" si="1"/>
        <v>999999</v>
      </c>
      <c r="I120" s="39" t="str">
        <f t="shared" si="2"/>
        <v/>
      </c>
      <c r="J120" s="35"/>
      <c r="K120" s="56">
        <f>IF(OR(A120="",F120="Done",E120&lt;WEEKLY!$B$5,E120&gt;WEEKLY!$B$5+6),999999,H120)</f>
        <v>999999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35"/>
      <c r="B121" s="35"/>
      <c r="C121" s="35"/>
      <c r="D121" s="37"/>
      <c r="E121" s="37"/>
      <c r="F121" s="35"/>
      <c r="G121" s="35"/>
      <c r="H121" s="39">
        <f t="shared" si="1"/>
        <v>999999</v>
      </c>
      <c r="I121" s="39" t="str">
        <f t="shared" si="2"/>
        <v/>
      </c>
      <c r="J121" s="35"/>
      <c r="K121" s="56">
        <f>IF(OR(A121="",F121="Done",E121&lt;WEEKLY!$B$5,E121&gt;WEEKLY!$B$5+6),999999,H121)</f>
        <v>999999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35"/>
      <c r="B122" s="35"/>
      <c r="C122" s="35"/>
      <c r="D122" s="37"/>
      <c r="E122" s="37"/>
      <c r="F122" s="35"/>
      <c r="G122" s="35"/>
      <c r="H122" s="39">
        <f t="shared" si="1"/>
        <v>999999</v>
      </c>
      <c r="I122" s="39" t="str">
        <f t="shared" si="2"/>
        <v/>
      </c>
      <c r="J122" s="35"/>
      <c r="K122" s="56">
        <f>IF(OR(A122="",F122="Done",E122&lt;WEEKLY!$B$5,E122&gt;WEEKLY!$B$5+6),999999,H122)</f>
        <v>999999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35"/>
      <c r="B123" s="35"/>
      <c r="C123" s="35"/>
      <c r="D123" s="37"/>
      <c r="E123" s="37"/>
      <c r="F123" s="35"/>
      <c r="G123" s="35"/>
      <c r="H123" s="39">
        <f t="shared" si="1"/>
        <v>999999</v>
      </c>
      <c r="I123" s="39" t="str">
        <f t="shared" si="2"/>
        <v/>
      </c>
      <c r="J123" s="35"/>
      <c r="K123" s="56">
        <f>IF(OR(A123="",F123="Done",E123&lt;WEEKLY!$B$5,E123&gt;WEEKLY!$B$5+6),999999,H123)</f>
        <v>999999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35"/>
      <c r="B124" s="35"/>
      <c r="C124" s="35"/>
      <c r="D124" s="37"/>
      <c r="E124" s="37"/>
      <c r="F124" s="35"/>
      <c r="G124" s="35"/>
      <c r="H124" s="39">
        <f t="shared" si="1"/>
        <v>999999</v>
      </c>
      <c r="I124" s="39" t="str">
        <f t="shared" si="2"/>
        <v/>
      </c>
      <c r="J124" s="35"/>
      <c r="K124" s="56">
        <f>IF(OR(A124="",F124="Done",E124&lt;WEEKLY!$B$5,E124&gt;WEEKLY!$B$5+6),999999,H124)</f>
        <v>999999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35"/>
      <c r="B125" s="35"/>
      <c r="C125" s="35"/>
      <c r="D125" s="37"/>
      <c r="E125" s="37"/>
      <c r="F125" s="35"/>
      <c r="G125" s="35"/>
      <c r="H125" s="39">
        <f t="shared" si="1"/>
        <v>999999</v>
      </c>
      <c r="I125" s="39" t="str">
        <f t="shared" si="2"/>
        <v/>
      </c>
      <c r="J125" s="35"/>
      <c r="K125" s="56">
        <f>IF(OR(A125="",F125="Done",E125&lt;WEEKLY!$B$5,E125&gt;WEEKLY!$B$5+6),999999,H125)</f>
        <v>999999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35"/>
      <c r="B126" s="35"/>
      <c r="C126" s="35"/>
      <c r="D126" s="37"/>
      <c r="E126" s="37"/>
      <c r="F126" s="35"/>
      <c r="G126" s="35"/>
      <c r="H126" s="39">
        <f t="shared" si="1"/>
        <v>999999</v>
      </c>
      <c r="I126" s="39" t="str">
        <f t="shared" si="2"/>
        <v/>
      </c>
      <c r="J126" s="35"/>
      <c r="K126" s="56">
        <f>IF(OR(A126="",F126="Done",E126&lt;WEEKLY!$B$5,E126&gt;WEEKLY!$B$5+6),999999,H126)</f>
        <v>999999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35"/>
      <c r="B127" s="35"/>
      <c r="C127" s="35"/>
      <c r="D127" s="37"/>
      <c r="E127" s="37"/>
      <c r="F127" s="35"/>
      <c r="G127" s="35"/>
      <c r="H127" s="39">
        <f t="shared" si="1"/>
        <v>999999</v>
      </c>
      <c r="I127" s="39" t="str">
        <f t="shared" si="2"/>
        <v/>
      </c>
      <c r="J127" s="35"/>
      <c r="K127" s="56">
        <f>IF(OR(A127="",F127="Done",E127&lt;WEEKLY!$B$5,E127&gt;WEEKLY!$B$5+6),999999,H127)</f>
        <v>999999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35"/>
      <c r="B128" s="35"/>
      <c r="C128" s="35"/>
      <c r="D128" s="37"/>
      <c r="E128" s="37"/>
      <c r="F128" s="35"/>
      <c r="G128" s="35"/>
      <c r="H128" s="39">
        <f t="shared" si="1"/>
        <v>999999</v>
      </c>
      <c r="I128" s="39" t="str">
        <f t="shared" si="2"/>
        <v/>
      </c>
      <c r="J128" s="35"/>
      <c r="K128" s="56">
        <f>IF(OR(A128="",F128="Done",E128&lt;WEEKLY!$B$5,E128&gt;WEEKLY!$B$5+6),999999,H128)</f>
        <v>999999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35"/>
      <c r="B129" s="35"/>
      <c r="C129" s="35"/>
      <c r="D129" s="37"/>
      <c r="E129" s="37"/>
      <c r="F129" s="35"/>
      <c r="G129" s="35"/>
      <c r="H129" s="39">
        <f t="shared" si="1"/>
        <v>999999</v>
      </c>
      <c r="I129" s="39" t="str">
        <f t="shared" si="2"/>
        <v/>
      </c>
      <c r="J129" s="35"/>
      <c r="K129" s="56">
        <f>IF(OR(A129="",F129="Done",E129&lt;WEEKLY!$B$5,E129&gt;WEEKLY!$B$5+6),999999,H129)</f>
        <v>999999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35"/>
      <c r="B130" s="35"/>
      <c r="C130" s="35"/>
      <c r="D130" s="37"/>
      <c r="E130" s="37"/>
      <c r="F130" s="35"/>
      <c r="G130" s="35"/>
      <c r="H130" s="39">
        <f t="shared" si="1"/>
        <v>999999</v>
      </c>
      <c r="I130" s="39" t="str">
        <f t="shared" si="2"/>
        <v/>
      </c>
      <c r="J130" s="35"/>
      <c r="K130" s="56">
        <f>IF(OR(A130="",F130="Done",E130&lt;WEEKLY!$B$5,E130&gt;WEEKLY!$B$5+6),999999,H130)</f>
        <v>999999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35"/>
      <c r="B131" s="35"/>
      <c r="C131" s="35"/>
      <c r="D131" s="37"/>
      <c r="E131" s="37"/>
      <c r="F131" s="35"/>
      <c r="G131" s="35"/>
      <c r="H131" s="39">
        <f t="shared" si="1"/>
        <v>999999</v>
      </c>
      <c r="I131" s="39" t="str">
        <f t="shared" si="2"/>
        <v/>
      </c>
      <c r="J131" s="35"/>
      <c r="K131" s="56">
        <f>IF(OR(A131="",F131="Done",E131&lt;WEEKLY!$B$5,E131&gt;WEEKLY!$B$5+6),999999,H131)</f>
        <v>999999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35"/>
      <c r="B132" s="35"/>
      <c r="C132" s="35"/>
      <c r="D132" s="37"/>
      <c r="E132" s="37"/>
      <c r="F132" s="35"/>
      <c r="G132" s="35"/>
      <c r="H132" s="39">
        <f t="shared" si="1"/>
        <v>999999</v>
      </c>
      <c r="I132" s="39" t="str">
        <f t="shared" si="2"/>
        <v/>
      </c>
      <c r="J132" s="35"/>
      <c r="K132" s="56">
        <f>IF(OR(A132="",F132="Done",E132&lt;WEEKLY!$B$5,E132&gt;WEEKLY!$B$5+6),999999,H132)</f>
        <v>999999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35"/>
      <c r="B133" s="35"/>
      <c r="C133" s="35"/>
      <c r="D133" s="37"/>
      <c r="E133" s="37"/>
      <c r="F133" s="35"/>
      <c r="G133" s="35"/>
      <c r="H133" s="39">
        <f t="shared" si="1"/>
        <v>999999</v>
      </c>
      <c r="I133" s="39" t="str">
        <f t="shared" si="2"/>
        <v/>
      </c>
      <c r="J133" s="35"/>
      <c r="K133" s="56">
        <f>IF(OR(A133="",F133="Done",E133&lt;WEEKLY!$B$5,E133&gt;WEEKLY!$B$5+6),999999,H133)</f>
        <v>999999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35"/>
      <c r="B134" s="35"/>
      <c r="C134" s="35"/>
      <c r="D134" s="37"/>
      <c r="E134" s="37"/>
      <c r="F134" s="35"/>
      <c r="G134" s="35"/>
      <c r="H134" s="39">
        <f t="shared" si="1"/>
        <v>999999</v>
      </c>
      <c r="I134" s="39" t="str">
        <f t="shared" si="2"/>
        <v/>
      </c>
      <c r="J134" s="35"/>
      <c r="K134" s="56">
        <f>IF(OR(A134="",F134="Done",E134&lt;WEEKLY!$B$5,E134&gt;WEEKLY!$B$5+6),999999,H134)</f>
        <v>999999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35"/>
      <c r="B135" s="35"/>
      <c r="C135" s="35"/>
      <c r="D135" s="37"/>
      <c r="E135" s="37"/>
      <c r="F135" s="35"/>
      <c r="G135" s="35"/>
      <c r="H135" s="39">
        <f t="shared" si="1"/>
        <v>999999</v>
      </c>
      <c r="I135" s="39" t="str">
        <f t="shared" si="2"/>
        <v/>
      </c>
      <c r="J135" s="35"/>
      <c r="K135" s="56">
        <f>IF(OR(A135="",F135="Done",E135&lt;WEEKLY!$B$5,E135&gt;WEEKLY!$B$5+6),999999,H135)</f>
        <v>999999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35"/>
      <c r="B136" s="35"/>
      <c r="C136" s="35"/>
      <c r="D136" s="37"/>
      <c r="E136" s="37"/>
      <c r="F136" s="35"/>
      <c r="G136" s="35"/>
      <c r="H136" s="39">
        <f t="shared" si="1"/>
        <v>999999</v>
      </c>
      <c r="I136" s="39" t="str">
        <f t="shared" si="2"/>
        <v/>
      </c>
      <c r="J136" s="35"/>
      <c r="K136" s="56">
        <f>IF(OR(A136="",F136="Done",E136&lt;WEEKLY!$B$5,E136&gt;WEEKLY!$B$5+6),999999,H136)</f>
        <v>999999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35"/>
      <c r="B137" s="35"/>
      <c r="C137" s="35"/>
      <c r="D137" s="37"/>
      <c r="E137" s="37"/>
      <c r="F137" s="35"/>
      <c r="G137" s="35"/>
      <c r="H137" s="39">
        <f t="shared" si="1"/>
        <v>999999</v>
      </c>
      <c r="I137" s="39" t="str">
        <f t="shared" si="2"/>
        <v/>
      </c>
      <c r="J137" s="35"/>
      <c r="K137" s="56">
        <f>IF(OR(A137="",F137="Done",E137&lt;WEEKLY!$B$5,E137&gt;WEEKLY!$B$5+6),999999,H137)</f>
        <v>999999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35"/>
      <c r="B138" s="35"/>
      <c r="C138" s="35"/>
      <c r="D138" s="37"/>
      <c r="E138" s="37"/>
      <c r="F138" s="35"/>
      <c r="G138" s="35"/>
      <c r="H138" s="39">
        <f t="shared" si="1"/>
        <v>999999</v>
      </c>
      <c r="I138" s="39" t="str">
        <f t="shared" si="2"/>
        <v/>
      </c>
      <c r="J138" s="35"/>
      <c r="K138" s="56">
        <f>IF(OR(A138="",F138="Done",E138&lt;WEEKLY!$B$5,E138&gt;WEEKLY!$B$5+6),999999,H138)</f>
        <v>999999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35"/>
      <c r="B139" s="35"/>
      <c r="C139" s="35"/>
      <c r="D139" s="37"/>
      <c r="E139" s="37"/>
      <c r="F139" s="35"/>
      <c r="G139" s="35"/>
      <c r="H139" s="39">
        <f t="shared" si="1"/>
        <v>999999</v>
      </c>
      <c r="I139" s="39" t="str">
        <f t="shared" si="2"/>
        <v/>
      </c>
      <c r="J139" s="35"/>
      <c r="K139" s="56">
        <f>IF(OR(A139="",F139="Done",E139&lt;WEEKLY!$B$5,E139&gt;WEEKLY!$B$5+6),999999,H139)</f>
        <v>999999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35"/>
      <c r="B140" s="35"/>
      <c r="C140" s="35"/>
      <c r="D140" s="37"/>
      <c r="E140" s="37"/>
      <c r="F140" s="35"/>
      <c r="G140" s="35"/>
      <c r="H140" s="39">
        <f t="shared" si="1"/>
        <v>999999</v>
      </c>
      <c r="I140" s="39" t="str">
        <f t="shared" si="2"/>
        <v/>
      </c>
      <c r="J140" s="35"/>
      <c r="K140" s="56">
        <f>IF(OR(A140="",F140="Done",E140&lt;WEEKLY!$B$5,E140&gt;WEEKLY!$B$5+6),999999,H140)</f>
        <v>999999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35"/>
      <c r="B141" s="35"/>
      <c r="C141" s="35"/>
      <c r="D141" s="37"/>
      <c r="E141" s="37"/>
      <c r="F141" s="35"/>
      <c r="G141" s="35"/>
      <c r="H141" s="39">
        <f t="shared" si="1"/>
        <v>999999</v>
      </c>
      <c r="I141" s="39" t="str">
        <f t="shared" si="2"/>
        <v/>
      </c>
      <c r="J141" s="35"/>
      <c r="K141" s="56">
        <f>IF(OR(A141="",F141="Done",E141&lt;WEEKLY!$B$5,E141&gt;WEEKLY!$B$5+6),999999,H141)</f>
        <v>999999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35"/>
      <c r="B142" s="35"/>
      <c r="C142" s="35"/>
      <c r="D142" s="37"/>
      <c r="E142" s="37"/>
      <c r="F142" s="35"/>
      <c r="G142" s="35"/>
      <c r="H142" s="39">
        <f t="shared" si="1"/>
        <v>999999</v>
      </c>
      <c r="I142" s="39" t="str">
        <f t="shared" si="2"/>
        <v/>
      </c>
      <c r="J142" s="35"/>
      <c r="K142" s="56">
        <f>IF(OR(A142="",F142="Done",E142&lt;WEEKLY!$B$5,E142&gt;WEEKLY!$B$5+6),999999,H142)</f>
        <v>999999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35"/>
      <c r="B143" s="35"/>
      <c r="C143" s="35"/>
      <c r="D143" s="37"/>
      <c r="E143" s="37"/>
      <c r="F143" s="35"/>
      <c r="G143" s="35"/>
      <c r="H143" s="39">
        <f t="shared" si="1"/>
        <v>999999</v>
      </c>
      <c r="I143" s="39" t="str">
        <f t="shared" si="2"/>
        <v/>
      </c>
      <c r="J143" s="35"/>
      <c r="K143" s="56">
        <f>IF(OR(A143="",F143="Done",E143&lt;WEEKLY!$B$5,E143&gt;WEEKLY!$B$5+6),999999,H143)</f>
        <v>999999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35"/>
      <c r="B144" s="35"/>
      <c r="C144" s="35"/>
      <c r="D144" s="37"/>
      <c r="E144" s="37"/>
      <c r="F144" s="35"/>
      <c r="G144" s="35"/>
      <c r="H144" s="39">
        <f t="shared" si="1"/>
        <v>999999</v>
      </c>
      <c r="I144" s="39" t="str">
        <f t="shared" si="2"/>
        <v/>
      </c>
      <c r="J144" s="35"/>
      <c r="K144" s="56">
        <f>IF(OR(A144="",F144="Done",E144&lt;WEEKLY!$B$5,E144&gt;WEEKLY!$B$5+6),999999,H144)</f>
        <v>999999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35"/>
      <c r="B145" s="35"/>
      <c r="C145" s="35"/>
      <c r="D145" s="37"/>
      <c r="E145" s="37"/>
      <c r="F145" s="35"/>
      <c r="G145" s="35"/>
      <c r="H145" s="39">
        <f t="shared" si="1"/>
        <v>999999</v>
      </c>
      <c r="I145" s="39" t="str">
        <f t="shared" si="2"/>
        <v/>
      </c>
      <c r="J145" s="35"/>
      <c r="K145" s="56">
        <f>IF(OR(A145="",F145="Done",E145&lt;WEEKLY!$B$5,E145&gt;WEEKLY!$B$5+6),999999,H145)</f>
        <v>999999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35"/>
      <c r="B146" s="35"/>
      <c r="C146" s="35"/>
      <c r="D146" s="37"/>
      <c r="E146" s="37"/>
      <c r="F146" s="35"/>
      <c r="G146" s="35"/>
      <c r="H146" s="39">
        <f t="shared" si="1"/>
        <v>999999</v>
      </c>
      <c r="I146" s="39" t="str">
        <f t="shared" si="2"/>
        <v/>
      </c>
      <c r="J146" s="35"/>
      <c r="K146" s="56">
        <f>IF(OR(A146="",F146="Done",E146&lt;WEEKLY!$B$5,E146&gt;WEEKLY!$B$5+6),999999,H146)</f>
        <v>999999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35"/>
      <c r="B147" s="35"/>
      <c r="C147" s="35"/>
      <c r="D147" s="37"/>
      <c r="E147" s="37"/>
      <c r="F147" s="35"/>
      <c r="G147" s="35"/>
      <c r="H147" s="39">
        <f t="shared" si="1"/>
        <v>999999</v>
      </c>
      <c r="I147" s="39" t="str">
        <f t="shared" si="2"/>
        <v/>
      </c>
      <c r="J147" s="35"/>
      <c r="K147" s="56">
        <f>IF(OR(A147="",F147="Done",E147&lt;WEEKLY!$B$5,E147&gt;WEEKLY!$B$5+6),999999,H147)</f>
        <v>999999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35"/>
      <c r="B148" s="35"/>
      <c r="C148" s="35"/>
      <c r="D148" s="37"/>
      <c r="E148" s="37"/>
      <c r="F148" s="35"/>
      <c r="G148" s="35"/>
      <c r="H148" s="39">
        <f t="shared" si="1"/>
        <v>999999</v>
      </c>
      <c r="I148" s="39" t="str">
        <f t="shared" si="2"/>
        <v/>
      </c>
      <c r="J148" s="35"/>
      <c r="K148" s="56">
        <f>IF(OR(A148="",F148="Done",E148&lt;WEEKLY!$B$5,E148&gt;WEEKLY!$B$5+6),999999,H148)</f>
        <v>999999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35"/>
      <c r="B149" s="35"/>
      <c r="C149" s="35"/>
      <c r="D149" s="37"/>
      <c r="E149" s="37"/>
      <c r="F149" s="35"/>
      <c r="G149" s="35"/>
      <c r="H149" s="39">
        <f t="shared" si="1"/>
        <v>999999</v>
      </c>
      <c r="I149" s="39" t="str">
        <f t="shared" si="2"/>
        <v/>
      </c>
      <c r="J149" s="35"/>
      <c r="K149" s="56">
        <f>IF(OR(A149="",F149="Done",E149&lt;WEEKLY!$B$5,E149&gt;WEEKLY!$B$5+6),999999,H149)</f>
        <v>999999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35"/>
      <c r="B150" s="35"/>
      <c r="C150" s="35"/>
      <c r="D150" s="37"/>
      <c r="E150" s="37"/>
      <c r="F150" s="35"/>
      <c r="G150" s="35"/>
      <c r="H150" s="39">
        <f t="shared" si="1"/>
        <v>999999</v>
      </c>
      <c r="I150" s="39" t="str">
        <f t="shared" si="2"/>
        <v/>
      </c>
      <c r="J150" s="35"/>
      <c r="K150" s="56">
        <f>IF(OR(A150="",F150="Done",E150&lt;WEEKLY!$B$5,E150&gt;WEEKLY!$B$5+6),999999,H150)</f>
        <v>999999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35"/>
      <c r="B151" s="35"/>
      <c r="C151" s="35"/>
      <c r="D151" s="37"/>
      <c r="E151" s="37"/>
      <c r="F151" s="35"/>
      <c r="G151" s="35"/>
      <c r="H151" s="39">
        <f t="shared" si="1"/>
        <v>999999</v>
      </c>
      <c r="I151" s="39" t="str">
        <f t="shared" si="2"/>
        <v/>
      </c>
      <c r="J151" s="35"/>
      <c r="K151" s="56">
        <f>IF(OR(A151="",F151="Done",E151&lt;WEEKLY!$B$5,E151&gt;WEEKLY!$B$5+6),999999,H151)</f>
        <v>999999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35"/>
      <c r="B152" s="35"/>
      <c r="C152" s="35"/>
      <c r="D152" s="37"/>
      <c r="E152" s="37"/>
      <c r="F152" s="35"/>
      <c r="G152" s="35"/>
      <c r="H152" s="39">
        <f t="shared" si="1"/>
        <v>999999</v>
      </c>
      <c r="I152" s="39" t="str">
        <f t="shared" si="2"/>
        <v/>
      </c>
      <c r="J152" s="35"/>
      <c r="K152" s="56">
        <f>IF(OR(A152="",F152="Done",E152&lt;WEEKLY!$B$5,E152&gt;WEEKLY!$B$5+6),999999,H152)</f>
        <v>999999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35"/>
      <c r="B153" s="35"/>
      <c r="C153" s="35"/>
      <c r="D153" s="37"/>
      <c r="E153" s="37"/>
      <c r="F153" s="35"/>
      <c r="G153" s="35"/>
      <c r="H153" s="39">
        <f t="shared" si="1"/>
        <v>999999</v>
      </c>
      <c r="I153" s="39" t="str">
        <f t="shared" si="2"/>
        <v/>
      </c>
      <c r="J153" s="35"/>
      <c r="K153" s="56">
        <f>IF(OR(A153="",F153="Done",E153&lt;WEEKLY!$B$5,E153&gt;WEEKLY!$B$5+6),999999,H153)</f>
        <v>999999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35"/>
      <c r="B154" s="35"/>
      <c r="C154" s="35"/>
      <c r="D154" s="37"/>
      <c r="E154" s="37"/>
      <c r="F154" s="35"/>
      <c r="G154" s="35"/>
      <c r="H154" s="39">
        <f t="shared" si="1"/>
        <v>999999</v>
      </c>
      <c r="I154" s="39" t="str">
        <f t="shared" si="2"/>
        <v/>
      </c>
      <c r="J154" s="35"/>
      <c r="K154" s="56">
        <f>IF(OR(A154="",F154="Done",E154&lt;WEEKLY!$B$5,E154&gt;WEEKLY!$B$5+6),999999,H154)</f>
        <v>999999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35"/>
      <c r="B155" s="35"/>
      <c r="C155" s="35"/>
      <c r="D155" s="37"/>
      <c r="E155" s="37"/>
      <c r="F155" s="35"/>
      <c r="G155" s="35"/>
      <c r="H155" s="39">
        <f t="shared" si="1"/>
        <v>999999</v>
      </c>
      <c r="I155" s="39" t="str">
        <f t="shared" si="2"/>
        <v/>
      </c>
      <c r="J155" s="35"/>
      <c r="K155" s="56">
        <f>IF(OR(A155="",F155="Done",E155&lt;WEEKLY!$B$5,E155&gt;WEEKLY!$B$5+6),999999,H155)</f>
        <v>999999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35"/>
      <c r="B156" s="35"/>
      <c r="C156" s="35"/>
      <c r="D156" s="37"/>
      <c r="E156" s="37"/>
      <c r="F156" s="35"/>
      <c r="G156" s="35"/>
      <c r="H156" s="39">
        <f t="shared" si="1"/>
        <v>999999</v>
      </c>
      <c r="I156" s="39" t="str">
        <f t="shared" si="2"/>
        <v/>
      </c>
      <c r="J156" s="35"/>
      <c r="K156" s="56">
        <f>IF(OR(A156="",F156="Done",E156&lt;WEEKLY!$B$5,E156&gt;WEEKLY!$B$5+6),999999,H156)</f>
        <v>999999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35"/>
      <c r="B157" s="35"/>
      <c r="C157" s="35"/>
      <c r="D157" s="37"/>
      <c r="E157" s="37"/>
      <c r="F157" s="35"/>
      <c r="G157" s="35"/>
      <c r="H157" s="39">
        <f t="shared" si="1"/>
        <v>999999</v>
      </c>
      <c r="I157" s="39" t="str">
        <f t="shared" si="2"/>
        <v/>
      </c>
      <c r="J157" s="35"/>
      <c r="K157" s="56">
        <f>IF(OR(A157="",F157="Done",E157&lt;WEEKLY!$B$5,E157&gt;WEEKLY!$B$5+6),999999,H157)</f>
        <v>999999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35"/>
      <c r="B158" s="35"/>
      <c r="C158" s="35"/>
      <c r="D158" s="37"/>
      <c r="E158" s="37"/>
      <c r="F158" s="35"/>
      <c r="G158" s="35"/>
      <c r="H158" s="39">
        <f t="shared" si="1"/>
        <v>999999</v>
      </c>
      <c r="I158" s="39" t="str">
        <f t="shared" si="2"/>
        <v/>
      </c>
      <c r="J158" s="35"/>
      <c r="K158" s="56">
        <f>IF(OR(A158="",F158="Done",E158&lt;WEEKLY!$B$5,E158&gt;WEEKLY!$B$5+6),999999,H158)</f>
        <v>999999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35"/>
      <c r="B159" s="35"/>
      <c r="C159" s="35"/>
      <c r="D159" s="37"/>
      <c r="E159" s="37"/>
      <c r="F159" s="35"/>
      <c r="G159" s="35"/>
      <c r="H159" s="39">
        <f t="shared" si="1"/>
        <v>999999</v>
      </c>
      <c r="I159" s="39" t="str">
        <f t="shared" si="2"/>
        <v/>
      </c>
      <c r="J159" s="35"/>
      <c r="K159" s="56">
        <f>IF(OR(A159="",F159="Done",E159&lt;WEEKLY!$B$5,E159&gt;WEEKLY!$B$5+6),999999,H159)</f>
        <v>999999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35"/>
      <c r="B160" s="35"/>
      <c r="C160" s="35"/>
      <c r="D160" s="37"/>
      <c r="E160" s="37"/>
      <c r="F160" s="35"/>
      <c r="G160" s="35"/>
      <c r="H160" s="39">
        <f t="shared" si="1"/>
        <v>999999</v>
      </c>
      <c r="I160" s="39" t="str">
        <f t="shared" si="2"/>
        <v/>
      </c>
      <c r="J160" s="35"/>
      <c r="K160" s="56">
        <f>IF(OR(A160="",F160="Done",E160&lt;WEEKLY!$B$5,E160&gt;WEEKLY!$B$5+6),999999,H160)</f>
        <v>999999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35"/>
      <c r="B161" s="35"/>
      <c r="C161" s="35"/>
      <c r="D161" s="37"/>
      <c r="E161" s="37"/>
      <c r="F161" s="35"/>
      <c r="G161" s="35"/>
      <c r="H161" s="39">
        <f t="shared" si="1"/>
        <v>999999</v>
      </c>
      <c r="I161" s="39" t="str">
        <f t="shared" si="2"/>
        <v/>
      </c>
      <c r="J161" s="35"/>
      <c r="K161" s="56">
        <f>IF(OR(A161="",F161="Done",E161&lt;WEEKLY!$B$5,E161&gt;WEEKLY!$B$5+6),999999,H161)</f>
        <v>999999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35"/>
      <c r="B162" s="35"/>
      <c r="C162" s="35"/>
      <c r="D162" s="37"/>
      <c r="E162" s="37"/>
      <c r="F162" s="35"/>
      <c r="G162" s="35"/>
      <c r="H162" s="39">
        <f t="shared" si="1"/>
        <v>999999</v>
      </c>
      <c r="I162" s="39" t="str">
        <f t="shared" si="2"/>
        <v/>
      </c>
      <c r="J162" s="35"/>
      <c r="K162" s="56">
        <f>IF(OR(A162="",F162="Done",E162&lt;WEEKLY!$B$5,E162&gt;WEEKLY!$B$5+6),999999,H162)</f>
        <v>999999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35"/>
      <c r="B163" s="35"/>
      <c r="C163" s="35"/>
      <c r="D163" s="37"/>
      <c r="E163" s="37"/>
      <c r="F163" s="35"/>
      <c r="G163" s="35"/>
      <c r="H163" s="39">
        <f t="shared" si="1"/>
        <v>999999</v>
      </c>
      <c r="I163" s="39" t="str">
        <f t="shared" si="2"/>
        <v/>
      </c>
      <c r="J163" s="35"/>
      <c r="K163" s="56">
        <f>IF(OR(A163="",F163="Done",E163&lt;WEEKLY!$B$5,E163&gt;WEEKLY!$B$5+6),999999,H163)</f>
        <v>999999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35"/>
      <c r="B164" s="35"/>
      <c r="C164" s="35"/>
      <c r="D164" s="37"/>
      <c r="E164" s="37"/>
      <c r="F164" s="35"/>
      <c r="G164" s="35"/>
      <c r="H164" s="39">
        <f t="shared" si="1"/>
        <v>999999</v>
      </c>
      <c r="I164" s="39" t="str">
        <f t="shared" si="2"/>
        <v/>
      </c>
      <c r="J164" s="35"/>
      <c r="K164" s="56">
        <f>IF(OR(A164="",F164="Done",E164&lt;WEEKLY!$B$5,E164&gt;WEEKLY!$B$5+6),999999,H164)</f>
        <v>999999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35"/>
      <c r="B165" s="35"/>
      <c r="C165" s="35"/>
      <c r="D165" s="37"/>
      <c r="E165" s="37"/>
      <c r="F165" s="35"/>
      <c r="G165" s="35"/>
      <c r="H165" s="39">
        <f t="shared" si="1"/>
        <v>999999</v>
      </c>
      <c r="I165" s="39" t="str">
        <f t="shared" si="2"/>
        <v/>
      </c>
      <c r="J165" s="35"/>
      <c r="K165" s="56">
        <f>IF(OR(A165="",F165="Done",E165&lt;WEEKLY!$B$5,E165&gt;WEEKLY!$B$5+6),999999,H165)</f>
        <v>999999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35"/>
      <c r="B166" s="35"/>
      <c r="C166" s="35"/>
      <c r="D166" s="37"/>
      <c r="E166" s="37"/>
      <c r="F166" s="35"/>
      <c r="G166" s="35"/>
      <c r="H166" s="39">
        <f t="shared" si="1"/>
        <v>999999</v>
      </c>
      <c r="I166" s="39" t="str">
        <f t="shared" si="2"/>
        <v/>
      </c>
      <c r="J166" s="35"/>
      <c r="K166" s="56">
        <f>IF(OR(A166="",F166="Done",E166&lt;WEEKLY!$B$5,E166&gt;WEEKLY!$B$5+6),999999,H166)</f>
        <v>999999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35"/>
      <c r="B167" s="35"/>
      <c r="C167" s="35"/>
      <c r="D167" s="37"/>
      <c r="E167" s="37"/>
      <c r="F167" s="35"/>
      <c r="G167" s="35"/>
      <c r="H167" s="39">
        <f t="shared" si="1"/>
        <v>999999</v>
      </c>
      <c r="I167" s="39" t="str">
        <f t="shared" si="2"/>
        <v/>
      </c>
      <c r="J167" s="35"/>
      <c r="K167" s="56">
        <f>IF(OR(A167="",F167="Done",E167&lt;WEEKLY!$B$5,E167&gt;WEEKLY!$B$5+6),999999,H167)</f>
        <v>999999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35"/>
      <c r="B168" s="35"/>
      <c r="C168" s="35"/>
      <c r="D168" s="37"/>
      <c r="E168" s="37"/>
      <c r="F168" s="35"/>
      <c r="G168" s="35"/>
      <c r="H168" s="39">
        <f t="shared" si="1"/>
        <v>999999</v>
      </c>
      <c r="I168" s="39" t="str">
        <f t="shared" si="2"/>
        <v/>
      </c>
      <c r="J168" s="35"/>
      <c r="K168" s="56">
        <f>IF(OR(A168="",F168="Done",E168&lt;WEEKLY!$B$5,E168&gt;WEEKLY!$B$5+6),999999,H168)</f>
        <v>999999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35"/>
      <c r="B169" s="35"/>
      <c r="C169" s="35"/>
      <c r="D169" s="37"/>
      <c r="E169" s="37"/>
      <c r="F169" s="35"/>
      <c r="G169" s="35"/>
      <c r="H169" s="39">
        <f t="shared" si="1"/>
        <v>999999</v>
      </c>
      <c r="I169" s="39" t="str">
        <f t="shared" si="2"/>
        <v/>
      </c>
      <c r="J169" s="35"/>
      <c r="K169" s="56">
        <f>IF(OR(A169="",F169="Done",E169&lt;WEEKLY!$B$5,E169&gt;WEEKLY!$B$5+6),999999,H169)</f>
        <v>999999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35"/>
      <c r="B170" s="35"/>
      <c r="C170" s="35"/>
      <c r="D170" s="37"/>
      <c r="E170" s="37"/>
      <c r="F170" s="35"/>
      <c r="G170" s="35"/>
      <c r="H170" s="39">
        <f t="shared" si="1"/>
        <v>999999</v>
      </c>
      <c r="I170" s="39" t="str">
        <f t="shared" si="2"/>
        <v/>
      </c>
      <c r="J170" s="35"/>
      <c r="K170" s="56">
        <f>IF(OR(A170="",F170="Done",E170&lt;WEEKLY!$B$5,E170&gt;WEEKLY!$B$5+6),999999,H170)</f>
        <v>999999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35"/>
      <c r="B171" s="35"/>
      <c r="C171" s="35"/>
      <c r="D171" s="37"/>
      <c r="E171" s="37"/>
      <c r="F171" s="35"/>
      <c r="G171" s="35"/>
      <c r="H171" s="39">
        <f t="shared" si="1"/>
        <v>999999</v>
      </c>
      <c r="I171" s="39" t="str">
        <f t="shared" si="2"/>
        <v/>
      </c>
      <c r="J171" s="35"/>
      <c r="K171" s="56">
        <f>IF(OR(A171="",F171="Done",E171&lt;WEEKLY!$B$5,E171&gt;WEEKLY!$B$5+6),999999,H171)</f>
        <v>999999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35"/>
      <c r="B172" s="35"/>
      <c r="C172" s="35"/>
      <c r="D172" s="37"/>
      <c r="E172" s="37"/>
      <c r="F172" s="35"/>
      <c r="G172" s="35"/>
      <c r="H172" s="39">
        <f t="shared" si="1"/>
        <v>999999</v>
      </c>
      <c r="I172" s="39" t="str">
        <f t="shared" si="2"/>
        <v/>
      </c>
      <c r="J172" s="35"/>
      <c r="K172" s="56">
        <f>IF(OR(A172="",F172="Done",E172&lt;WEEKLY!$B$5,E172&gt;WEEKLY!$B$5+6),999999,H172)</f>
        <v>999999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35"/>
      <c r="B173" s="35"/>
      <c r="C173" s="35"/>
      <c r="D173" s="37"/>
      <c r="E173" s="37"/>
      <c r="F173" s="35"/>
      <c r="G173" s="35"/>
      <c r="H173" s="39">
        <f t="shared" si="1"/>
        <v>999999</v>
      </c>
      <c r="I173" s="39" t="str">
        <f t="shared" si="2"/>
        <v/>
      </c>
      <c r="J173" s="35"/>
      <c r="K173" s="56">
        <f>IF(OR(A173="",F173="Done",E173&lt;WEEKLY!$B$5,E173&gt;WEEKLY!$B$5+6),999999,H173)</f>
        <v>999999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35"/>
      <c r="B174" s="35"/>
      <c r="C174" s="35"/>
      <c r="D174" s="37"/>
      <c r="E174" s="37"/>
      <c r="F174" s="35"/>
      <c r="G174" s="35"/>
      <c r="H174" s="39">
        <f t="shared" si="1"/>
        <v>999999</v>
      </c>
      <c r="I174" s="39" t="str">
        <f t="shared" si="2"/>
        <v/>
      </c>
      <c r="J174" s="35"/>
      <c r="K174" s="56">
        <f>IF(OR(A174="",F174="Done",E174&lt;WEEKLY!$B$5,E174&gt;WEEKLY!$B$5+6),999999,H174)</f>
        <v>999999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35"/>
      <c r="B175" s="35"/>
      <c r="C175" s="35"/>
      <c r="D175" s="37"/>
      <c r="E175" s="37"/>
      <c r="F175" s="35"/>
      <c r="G175" s="35"/>
      <c r="H175" s="39">
        <f t="shared" si="1"/>
        <v>999999</v>
      </c>
      <c r="I175" s="39" t="str">
        <f t="shared" si="2"/>
        <v/>
      </c>
      <c r="J175" s="35"/>
      <c r="K175" s="56">
        <f>IF(OR(A175="",F175="Done",E175&lt;WEEKLY!$B$5,E175&gt;WEEKLY!$B$5+6),999999,H175)</f>
        <v>999999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35"/>
      <c r="B176" s="35"/>
      <c r="C176" s="35"/>
      <c r="D176" s="37"/>
      <c r="E176" s="37"/>
      <c r="F176" s="35"/>
      <c r="G176" s="35"/>
      <c r="H176" s="39">
        <f t="shared" si="1"/>
        <v>999999</v>
      </c>
      <c r="I176" s="39" t="str">
        <f t="shared" si="2"/>
        <v/>
      </c>
      <c r="J176" s="35"/>
      <c r="K176" s="56">
        <f>IF(OR(A176="",F176="Done",E176&lt;WEEKLY!$B$5,E176&gt;WEEKLY!$B$5+6),999999,H176)</f>
        <v>999999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35"/>
      <c r="B177" s="35"/>
      <c r="C177" s="35"/>
      <c r="D177" s="37"/>
      <c r="E177" s="37"/>
      <c r="F177" s="35"/>
      <c r="G177" s="35"/>
      <c r="H177" s="39">
        <f t="shared" si="1"/>
        <v>999999</v>
      </c>
      <c r="I177" s="39" t="str">
        <f t="shared" si="2"/>
        <v/>
      </c>
      <c r="J177" s="35"/>
      <c r="K177" s="56">
        <f>IF(OR(A177="",F177="Done",E177&lt;WEEKLY!$B$5,E177&gt;WEEKLY!$B$5+6),999999,H177)</f>
        <v>999999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35"/>
      <c r="B178" s="35"/>
      <c r="C178" s="35"/>
      <c r="D178" s="37"/>
      <c r="E178" s="37"/>
      <c r="F178" s="35"/>
      <c r="G178" s="35"/>
      <c r="H178" s="39">
        <f t="shared" si="1"/>
        <v>999999</v>
      </c>
      <c r="I178" s="39" t="str">
        <f t="shared" si="2"/>
        <v/>
      </c>
      <c r="J178" s="35"/>
      <c r="K178" s="56">
        <f>IF(OR(A178="",F178="Done",E178&lt;WEEKLY!$B$5,E178&gt;WEEKLY!$B$5+6),999999,H178)</f>
        <v>999999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35"/>
      <c r="B179" s="35"/>
      <c r="C179" s="35"/>
      <c r="D179" s="37"/>
      <c r="E179" s="37"/>
      <c r="F179" s="35"/>
      <c r="G179" s="35"/>
      <c r="H179" s="39">
        <f t="shared" si="1"/>
        <v>999999</v>
      </c>
      <c r="I179" s="39" t="str">
        <f t="shared" si="2"/>
        <v/>
      </c>
      <c r="J179" s="35"/>
      <c r="K179" s="56">
        <f>IF(OR(A179="",F179="Done",E179&lt;WEEKLY!$B$5,E179&gt;WEEKLY!$B$5+6),999999,H179)</f>
        <v>999999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35"/>
      <c r="B180" s="35"/>
      <c r="C180" s="35"/>
      <c r="D180" s="37"/>
      <c r="E180" s="37"/>
      <c r="F180" s="35"/>
      <c r="G180" s="35"/>
      <c r="H180" s="39">
        <f t="shared" si="1"/>
        <v>999999</v>
      </c>
      <c r="I180" s="39" t="str">
        <f t="shared" si="2"/>
        <v/>
      </c>
      <c r="J180" s="35"/>
      <c r="K180" s="56">
        <f>IF(OR(A180="",F180="Done",E180&lt;WEEKLY!$B$5,E180&gt;WEEKLY!$B$5+6),999999,H180)</f>
        <v>999999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35"/>
      <c r="B181" s="35"/>
      <c r="C181" s="35"/>
      <c r="D181" s="37"/>
      <c r="E181" s="37"/>
      <c r="F181" s="35"/>
      <c r="G181" s="35"/>
      <c r="H181" s="39">
        <f t="shared" si="1"/>
        <v>999999</v>
      </c>
      <c r="I181" s="39" t="str">
        <f t="shared" si="2"/>
        <v/>
      </c>
      <c r="J181" s="35"/>
      <c r="K181" s="56">
        <f>IF(OR(A181="",F181="Done",E181&lt;WEEKLY!$B$5,E181&gt;WEEKLY!$B$5+6),999999,H181)</f>
        <v>999999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35"/>
      <c r="B182" s="35"/>
      <c r="C182" s="35"/>
      <c r="D182" s="37"/>
      <c r="E182" s="37"/>
      <c r="F182" s="35"/>
      <c r="G182" s="35"/>
      <c r="H182" s="39">
        <f t="shared" si="1"/>
        <v>999999</v>
      </c>
      <c r="I182" s="39" t="str">
        <f t="shared" si="2"/>
        <v/>
      </c>
      <c r="J182" s="35"/>
      <c r="K182" s="56">
        <f>IF(OR(A182="",F182="Done",E182&lt;WEEKLY!$B$5,E182&gt;WEEKLY!$B$5+6),999999,H182)</f>
        <v>999999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35"/>
      <c r="B183" s="35"/>
      <c r="C183" s="35"/>
      <c r="D183" s="37"/>
      <c r="E183" s="37"/>
      <c r="F183" s="35"/>
      <c r="G183" s="35"/>
      <c r="H183" s="39">
        <f t="shared" si="1"/>
        <v>999999</v>
      </c>
      <c r="I183" s="39" t="str">
        <f t="shared" si="2"/>
        <v/>
      </c>
      <c r="J183" s="35"/>
      <c r="K183" s="56">
        <f>IF(OR(A183="",F183="Done",E183&lt;WEEKLY!$B$5,E183&gt;WEEKLY!$B$5+6),999999,H183)</f>
        <v>999999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35"/>
      <c r="B184" s="35"/>
      <c r="C184" s="35"/>
      <c r="D184" s="37"/>
      <c r="E184" s="37"/>
      <c r="F184" s="35"/>
      <c r="G184" s="35"/>
      <c r="H184" s="39">
        <f t="shared" si="1"/>
        <v>999999</v>
      </c>
      <c r="I184" s="39" t="str">
        <f t="shared" si="2"/>
        <v/>
      </c>
      <c r="J184" s="35"/>
      <c r="K184" s="56">
        <f>IF(OR(A184="",F184="Done",E184&lt;WEEKLY!$B$5,E184&gt;WEEKLY!$B$5+6),999999,H184)</f>
        <v>999999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35"/>
      <c r="B185" s="35"/>
      <c r="C185" s="35"/>
      <c r="D185" s="37"/>
      <c r="E185" s="37"/>
      <c r="F185" s="35"/>
      <c r="G185" s="35"/>
      <c r="H185" s="39">
        <f t="shared" si="1"/>
        <v>999999</v>
      </c>
      <c r="I185" s="39" t="str">
        <f t="shared" si="2"/>
        <v/>
      </c>
      <c r="J185" s="35"/>
      <c r="K185" s="56">
        <f>IF(OR(A185="",F185="Done",E185&lt;WEEKLY!$B$5,E185&gt;WEEKLY!$B$5+6),999999,H185)</f>
        <v>999999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35"/>
      <c r="B186" s="35"/>
      <c r="C186" s="35"/>
      <c r="D186" s="37"/>
      <c r="E186" s="37"/>
      <c r="F186" s="35"/>
      <c r="G186" s="35"/>
      <c r="H186" s="39">
        <f t="shared" si="1"/>
        <v>999999</v>
      </c>
      <c r="I186" s="39" t="str">
        <f t="shared" si="2"/>
        <v/>
      </c>
      <c r="J186" s="35"/>
      <c r="K186" s="56">
        <f>IF(OR(A186="",F186="Done",E186&lt;WEEKLY!$B$5,E186&gt;WEEKLY!$B$5+6),999999,H186)</f>
        <v>999999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35"/>
      <c r="B187" s="35"/>
      <c r="C187" s="35"/>
      <c r="D187" s="37"/>
      <c r="E187" s="37"/>
      <c r="F187" s="35"/>
      <c r="G187" s="35"/>
      <c r="H187" s="39">
        <f t="shared" si="1"/>
        <v>999999</v>
      </c>
      <c r="I187" s="39" t="str">
        <f t="shared" si="2"/>
        <v/>
      </c>
      <c r="J187" s="35"/>
      <c r="K187" s="56">
        <f>IF(OR(A187="",F187="Done",E187&lt;WEEKLY!$B$5,E187&gt;WEEKLY!$B$5+6),999999,H187)</f>
        <v>999999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35"/>
      <c r="B188" s="35"/>
      <c r="C188" s="35"/>
      <c r="D188" s="37"/>
      <c r="E188" s="37"/>
      <c r="F188" s="35"/>
      <c r="G188" s="35"/>
      <c r="H188" s="39">
        <f t="shared" si="1"/>
        <v>999999</v>
      </c>
      <c r="I188" s="39" t="str">
        <f t="shared" si="2"/>
        <v/>
      </c>
      <c r="J188" s="35"/>
      <c r="K188" s="56">
        <f>IF(OR(A188="",F188="Done",E188&lt;WEEKLY!$B$5,E188&gt;WEEKLY!$B$5+6),999999,H188)</f>
        <v>999999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35"/>
      <c r="B189" s="35"/>
      <c r="C189" s="35"/>
      <c r="D189" s="37"/>
      <c r="E189" s="37"/>
      <c r="F189" s="35"/>
      <c r="G189" s="35"/>
      <c r="H189" s="39">
        <f t="shared" si="1"/>
        <v>999999</v>
      </c>
      <c r="I189" s="39" t="str">
        <f t="shared" si="2"/>
        <v/>
      </c>
      <c r="J189" s="35"/>
      <c r="K189" s="56">
        <f>IF(OR(A189="",F189="Done",E189&lt;WEEKLY!$B$5,E189&gt;WEEKLY!$B$5+6),999999,H189)</f>
        <v>999999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35"/>
      <c r="B190" s="35"/>
      <c r="C190" s="35"/>
      <c r="D190" s="37"/>
      <c r="E190" s="37"/>
      <c r="F190" s="35"/>
      <c r="G190" s="35"/>
      <c r="H190" s="39">
        <f t="shared" si="1"/>
        <v>999999</v>
      </c>
      <c r="I190" s="39" t="str">
        <f t="shared" si="2"/>
        <v/>
      </c>
      <c r="J190" s="35"/>
      <c r="K190" s="56">
        <f>IF(OR(A190="",F190="Done",E190&lt;WEEKLY!$B$5,E190&gt;WEEKLY!$B$5+6),999999,H190)</f>
        <v>999999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35"/>
      <c r="B191" s="35"/>
      <c r="C191" s="35"/>
      <c r="D191" s="37"/>
      <c r="E191" s="37"/>
      <c r="F191" s="35"/>
      <c r="G191" s="35"/>
      <c r="H191" s="39">
        <f t="shared" si="1"/>
        <v>999999</v>
      </c>
      <c r="I191" s="39" t="str">
        <f t="shared" si="2"/>
        <v/>
      </c>
      <c r="J191" s="35"/>
      <c r="K191" s="56">
        <f>IF(OR(A191="",F191="Done",E191&lt;WEEKLY!$B$5,E191&gt;WEEKLY!$B$5+6),999999,H191)</f>
        <v>999999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35"/>
      <c r="B192" s="35"/>
      <c r="C192" s="35"/>
      <c r="D192" s="37"/>
      <c r="E192" s="37"/>
      <c r="F192" s="35"/>
      <c r="G192" s="35"/>
      <c r="H192" s="39">
        <f t="shared" si="1"/>
        <v>999999</v>
      </c>
      <c r="I192" s="39" t="str">
        <f t="shared" si="2"/>
        <v/>
      </c>
      <c r="J192" s="35"/>
      <c r="K192" s="56">
        <f>IF(OR(A192="",F192="Done",E192&lt;WEEKLY!$B$5,E192&gt;WEEKLY!$B$5+6),999999,H192)</f>
        <v>999999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35"/>
      <c r="B193" s="35"/>
      <c r="C193" s="35"/>
      <c r="D193" s="37"/>
      <c r="E193" s="37"/>
      <c r="F193" s="35"/>
      <c r="G193" s="35"/>
      <c r="H193" s="39">
        <f t="shared" si="1"/>
        <v>999999</v>
      </c>
      <c r="I193" s="39" t="str">
        <f t="shared" si="2"/>
        <v/>
      </c>
      <c r="J193" s="35"/>
      <c r="K193" s="56">
        <f>IF(OR(A193="",F193="Done",E193&lt;WEEKLY!$B$5,E193&gt;WEEKLY!$B$5+6),999999,H193)</f>
        <v>999999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35"/>
      <c r="B194" s="35"/>
      <c r="C194" s="35"/>
      <c r="D194" s="37"/>
      <c r="E194" s="37"/>
      <c r="F194" s="35"/>
      <c r="G194" s="35"/>
      <c r="H194" s="39">
        <f t="shared" si="1"/>
        <v>999999</v>
      </c>
      <c r="I194" s="39" t="str">
        <f t="shared" si="2"/>
        <v/>
      </c>
      <c r="J194" s="35"/>
      <c r="K194" s="56">
        <f>IF(OR(A194="",F194="Done",E194&lt;WEEKLY!$B$5,E194&gt;WEEKLY!$B$5+6),999999,H194)</f>
        <v>999999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35"/>
      <c r="B195" s="35"/>
      <c r="C195" s="35"/>
      <c r="D195" s="37"/>
      <c r="E195" s="37"/>
      <c r="F195" s="35"/>
      <c r="G195" s="35"/>
      <c r="H195" s="39">
        <f t="shared" si="1"/>
        <v>999999</v>
      </c>
      <c r="I195" s="39" t="str">
        <f t="shared" si="2"/>
        <v/>
      </c>
      <c r="J195" s="35"/>
      <c r="K195" s="56">
        <f>IF(OR(A195="",F195="Done",E195&lt;WEEKLY!$B$5,E195&gt;WEEKLY!$B$5+6),999999,H195)</f>
        <v>999999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35"/>
      <c r="B196" s="35"/>
      <c r="C196" s="35"/>
      <c r="D196" s="37"/>
      <c r="E196" s="37"/>
      <c r="F196" s="35"/>
      <c r="G196" s="35"/>
      <c r="H196" s="39">
        <f t="shared" si="1"/>
        <v>999999</v>
      </c>
      <c r="I196" s="39" t="str">
        <f t="shared" si="2"/>
        <v/>
      </c>
      <c r="J196" s="35"/>
      <c r="K196" s="56">
        <f>IF(OR(A196="",F196="Done",E196&lt;WEEKLY!$B$5,E196&gt;WEEKLY!$B$5+6),999999,H196)</f>
        <v>999999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35"/>
      <c r="B197" s="35"/>
      <c r="C197" s="35"/>
      <c r="D197" s="37"/>
      <c r="E197" s="37"/>
      <c r="F197" s="35"/>
      <c r="G197" s="35"/>
      <c r="H197" s="39">
        <f t="shared" si="1"/>
        <v>999999</v>
      </c>
      <c r="I197" s="39" t="str">
        <f t="shared" si="2"/>
        <v/>
      </c>
      <c r="J197" s="35"/>
      <c r="K197" s="56">
        <f>IF(OR(A197="",F197="Done",E197&lt;WEEKLY!$B$5,E197&gt;WEEKLY!$B$5+6),999999,H197)</f>
        <v>999999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35"/>
      <c r="B198" s="35"/>
      <c r="C198" s="35"/>
      <c r="D198" s="37"/>
      <c r="E198" s="37"/>
      <c r="F198" s="35"/>
      <c r="G198" s="35"/>
      <c r="H198" s="39">
        <f t="shared" si="1"/>
        <v>999999</v>
      </c>
      <c r="I198" s="39" t="str">
        <f t="shared" si="2"/>
        <v/>
      </c>
      <c r="J198" s="35"/>
      <c r="K198" s="56">
        <f>IF(OR(A198="",F198="Done",E198&lt;WEEKLY!$B$5,E198&gt;WEEKLY!$B$5+6),999999,H198)</f>
        <v>999999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35"/>
      <c r="B199" s="35"/>
      <c r="C199" s="35"/>
      <c r="D199" s="37"/>
      <c r="E199" s="37"/>
      <c r="F199" s="35"/>
      <c r="G199" s="35"/>
      <c r="H199" s="39">
        <f t="shared" si="1"/>
        <v>999999</v>
      </c>
      <c r="I199" s="39" t="str">
        <f t="shared" si="2"/>
        <v/>
      </c>
      <c r="J199" s="35"/>
      <c r="K199" s="56">
        <f>IF(OR(A199="",F199="Done",E199&lt;WEEKLY!$B$5,E199&gt;WEEKLY!$B$5+6),999999,H199)</f>
        <v>999999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35"/>
      <c r="B200" s="35"/>
      <c r="C200" s="35"/>
      <c r="D200" s="37"/>
      <c r="E200" s="37"/>
      <c r="F200" s="35"/>
      <c r="G200" s="35"/>
      <c r="H200" s="39">
        <f t="shared" si="1"/>
        <v>999999</v>
      </c>
      <c r="I200" s="39" t="str">
        <f t="shared" si="2"/>
        <v/>
      </c>
      <c r="J200" s="35"/>
      <c r="K200" s="56">
        <f>IF(OR(A200="",F200="Done",E200&lt;WEEKLY!$B$5,E200&gt;WEEKLY!$B$5+6),999999,H200)</f>
        <v>999999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35"/>
      <c r="B201" s="35"/>
      <c r="C201" s="35"/>
      <c r="D201" s="37"/>
      <c r="E201" s="37"/>
      <c r="F201" s="35"/>
      <c r="G201" s="35"/>
      <c r="H201" s="39">
        <f t="shared" si="1"/>
        <v>999999</v>
      </c>
      <c r="I201" s="39" t="str">
        <f t="shared" si="2"/>
        <v/>
      </c>
      <c r="J201" s="35"/>
      <c r="K201" s="56">
        <f>IF(OR(A201="",F201="Done",E201&lt;WEEKLY!$B$5,E201&gt;WEEKLY!$B$5+6),999999,H201)</f>
        <v>999999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35"/>
      <c r="B202" s="35"/>
      <c r="C202" s="35"/>
      <c r="D202" s="37"/>
      <c r="E202" s="37"/>
      <c r="F202" s="35"/>
      <c r="G202" s="35"/>
      <c r="H202" s="39">
        <f t="shared" si="1"/>
        <v>999999</v>
      </c>
      <c r="I202" s="39" t="str">
        <f t="shared" si="2"/>
        <v/>
      </c>
      <c r="J202" s="35"/>
      <c r="K202" s="56">
        <f>IF(OR(A202="",F202="Done",E202&lt;WEEKLY!$B$5,E202&gt;WEEKLY!$B$5+6),999999,H202)</f>
        <v>999999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35"/>
      <c r="B203" s="35"/>
      <c r="C203" s="35"/>
      <c r="D203" s="37"/>
      <c r="E203" s="37"/>
      <c r="F203" s="35"/>
      <c r="G203" s="35"/>
      <c r="H203" s="39">
        <f t="shared" si="1"/>
        <v>999999</v>
      </c>
      <c r="I203" s="39" t="str">
        <f t="shared" si="2"/>
        <v/>
      </c>
      <c r="J203" s="35"/>
      <c r="K203" s="56">
        <f>IF(OR(A203="",F203="Done",E203&lt;WEEKLY!$B$5,E203&gt;WEEKLY!$B$5+6),999999,H203)</f>
        <v>999999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35"/>
      <c r="B204" s="35"/>
      <c r="C204" s="35"/>
      <c r="D204" s="37"/>
      <c r="E204" s="37"/>
      <c r="F204" s="35"/>
      <c r="G204" s="35"/>
      <c r="H204" s="39">
        <f t="shared" si="1"/>
        <v>999999</v>
      </c>
      <c r="I204" s="39" t="str">
        <f t="shared" si="2"/>
        <v/>
      </c>
      <c r="J204" s="35"/>
      <c r="K204" s="56">
        <f>IF(OR(A204="",F204="Done",E204&lt;WEEKLY!$B$5,E204&gt;WEEKLY!$B$5+6),999999,H204)</f>
        <v>999999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35"/>
      <c r="B205" s="35"/>
      <c r="C205" s="35"/>
      <c r="D205" s="37"/>
      <c r="E205" s="37"/>
      <c r="F205" s="35"/>
      <c r="G205" s="35"/>
      <c r="H205" s="39">
        <f t="shared" si="1"/>
        <v>999999</v>
      </c>
      <c r="I205" s="39" t="str">
        <f t="shared" si="2"/>
        <v/>
      </c>
      <c r="J205" s="35"/>
      <c r="K205" s="56">
        <f>IF(OR(A205="",F205="Done",E205&lt;WEEKLY!$B$5,E205&gt;WEEKLY!$B$5+6),999999,H205)</f>
        <v>999999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J2"/>
    <mergeCell ref="A3:J3"/>
  </mergeCells>
  <conditionalFormatting sqref="C6:C205">
    <cfRule type="expression" dxfId="5" priority="1">
      <formula>$C6="Urgent"</formula>
    </cfRule>
  </conditionalFormatting>
  <conditionalFormatting sqref="F6:F205">
    <cfRule type="expression" dxfId="8" priority="2">
      <formula>$F6="Done"</formula>
    </cfRule>
  </conditionalFormatting>
  <conditionalFormatting sqref="I6:I205">
    <cfRule type="expression" dxfId="5" priority="3">
      <formula>AND($F6&lt;&gt;"Done",$I6&lt;0)</formula>
    </cfRule>
  </conditionalFormatting>
  <dataValidations>
    <dataValidation type="list" allowBlank="1" sqref="F6:F205">
      <formula1>SETTINGS!$B$6:$B$10</formula1>
    </dataValidation>
    <dataValidation type="list" allowBlank="1" sqref="B6:B205">
      <formula1>SETTINGS!$C$6:$C$13</formula1>
    </dataValidation>
    <dataValidation type="list" allowBlank="1" sqref="C6:C205">
      <formula1>SETTINGS!$A$6:$A$9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7.0"/>
    <col customWidth="1" min="3" max="3" width="14.0"/>
    <col customWidth="1" min="4" max="4" width="18.0"/>
    <col customWidth="1" min="5" max="5" width="14.0"/>
    <col customWidth="1" min="6" max="6" width="18.0"/>
    <col customWidth="1" min="7" max="7" width="25.0"/>
    <col customWidth="1" min="8" max="8" width="4.0"/>
    <col customWidth="1" min="9" max="9" width="24.0"/>
    <col customWidth="1" min="10" max="10" width="14.0"/>
    <col customWidth="1" min="11" max="11" width="15.0"/>
    <col customWidth="1" min="12" max="13" width="14.0"/>
    <col customWidth="1" min="14" max="14" width="18.0"/>
    <col customWidth="1" min="15" max="16" width="12.0"/>
    <col customWidth="1" min="17" max="26" width="8.88"/>
  </cols>
  <sheetData>
    <row r="1" ht="13.5" customHeight="1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" t="s">
        <v>116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" t="s">
        <v>19</v>
      </c>
      <c r="B5" s="20">
        <v>46266.0</v>
      </c>
      <c r="C5" s="4"/>
      <c r="D5" s="4"/>
      <c r="E5" s="4"/>
      <c r="F5" s="4"/>
      <c r="G5" s="4"/>
      <c r="H5" s="4"/>
      <c r="I5" s="14" t="s">
        <v>119</v>
      </c>
      <c r="J5" s="9"/>
      <c r="K5" s="9"/>
      <c r="L5" s="9"/>
      <c r="M5" s="9"/>
      <c r="N5" s="9"/>
      <c r="O5" s="9"/>
      <c r="P5" s="10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6" t="s">
        <v>121</v>
      </c>
      <c r="B7" s="4"/>
      <c r="C7" s="16" t="s">
        <v>122</v>
      </c>
      <c r="D7" s="4"/>
      <c r="E7" s="16" t="s">
        <v>123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30">
        <f>SUMIFS($E$14:$E$213,$C$14:$C$213,"Income",$A$14:$A$213,"&gt;="&amp;EOMONTH($B$5,-1)+1,$A$14:$A$213,"&lt;="&amp;EOMONTH($B$5,0))</f>
        <v>2800</v>
      </c>
      <c r="B8" s="3"/>
      <c r="C8" s="30">
        <f>SUMIFS($E$14:$E$213,$C$14:$C$213,"Expense",$A$14:$A$213,"&gt;="&amp;EOMONTH($B$5,-1)+1,$A$14:$A$213,"&lt;="&amp;EOMONTH($B$5,0))</f>
        <v>252.61</v>
      </c>
      <c r="D8" s="3"/>
      <c r="E8" s="30">
        <f>SUMIFS($E$14:$E$213,$C$14:$C$213,"Savings",$A$14:$A$213,"&gt;="&amp;EOMONTH($B$5,-1)+1,$A$14:$A$213,"&lt;="&amp;EOMONTH($B$5,0))</f>
        <v>200</v>
      </c>
      <c r="F8" s="2"/>
      <c r="G8" s="3"/>
      <c r="H8" s="4"/>
      <c r="I8" s="31" t="s">
        <v>54</v>
      </c>
      <c r="J8" s="31" t="s">
        <v>130</v>
      </c>
      <c r="K8" s="31" t="s">
        <v>50</v>
      </c>
      <c r="L8" s="31" t="s">
        <v>55</v>
      </c>
      <c r="M8" s="31" t="s">
        <v>18</v>
      </c>
      <c r="N8" s="31" t="s">
        <v>131</v>
      </c>
      <c r="O8" s="31" t="s">
        <v>132</v>
      </c>
      <c r="P8" s="31" t="s">
        <v>134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5"/>
      <c r="B9" s="7"/>
      <c r="C9" s="5"/>
      <c r="D9" s="7"/>
      <c r="E9" s="5"/>
      <c r="F9" s="6"/>
      <c r="G9" s="7"/>
      <c r="H9" s="4"/>
      <c r="I9" s="35" t="s">
        <v>135</v>
      </c>
      <c r="J9" s="37">
        <v>46281.0</v>
      </c>
      <c r="K9" s="35" t="s">
        <v>54</v>
      </c>
      <c r="L9" s="57">
        <v>175.0</v>
      </c>
      <c r="M9" s="35" t="s">
        <v>136</v>
      </c>
      <c r="N9" s="35" t="s">
        <v>137</v>
      </c>
      <c r="O9" s="35" t="s">
        <v>138</v>
      </c>
      <c r="P9" s="39">
        <f t="shared" ref="P9:P208" si="1">IF(OR(I9="",M9="Paid",J9&lt;TODAY()),999999,J9-TODAY()+ROW()/100000)</f>
        <v>999999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4"/>
      <c r="B10" s="4"/>
      <c r="C10" s="4"/>
      <c r="D10" s="4"/>
      <c r="E10" s="4"/>
      <c r="F10" s="4"/>
      <c r="G10" s="4"/>
      <c r="H10" s="4"/>
      <c r="I10" s="35" t="s">
        <v>139</v>
      </c>
      <c r="J10" s="37">
        <v>46285.0</v>
      </c>
      <c r="K10" s="35" t="s">
        <v>140</v>
      </c>
      <c r="L10" s="57">
        <v>21.99</v>
      </c>
      <c r="M10" s="35" t="s">
        <v>141</v>
      </c>
      <c r="N10" s="35" t="s">
        <v>137</v>
      </c>
      <c r="O10" s="35" t="s">
        <v>142</v>
      </c>
      <c r="P10" s="39">
        <f t="shared" si="1"/>
        <v>999999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/>
      <c r="B11" s="4"/>
      <c r="C11" s="4"/>
      <c r="D11" s="4"/>
      <c r="E11" s="4"/>
      <c r="F11" s="4"/>
      <c r="G11" s="4"/>
      <c r="H11" s="4"/>
      <c r="I11" s="35" t="s">
        <v>143</v>
      </c>
      <c r="J11" s="37">
        <v>46291.0</v>
      </c>
      <c r="K11" s="35" t="s">
        <v>54</v>
      </c>
      <c r="L11" s="57">
        <v>210.0</v>
      </c>
      <c r="M11" s="35" t="s">
        <v>136</v>
      </c>
      <c r="N11" s="35" t="s">
        <v>144</v>
      </c>
      <c r="O11" s="35" t="s">
        <v>138</v>
      </c>
      <c r="P11" s="39">
        <f t="shared" si="1"/>
        <v>3.00011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4" t="s">
        <v>145</v>
      </c>
      <c r="B12" s="9"/>
      <c r="C12" s="9"/>
      <c r="D12" s="9"/>
      <c r="E12" s="9"/>
      <c r="F12" s="9"/>
      <c r="G12" s="10"/>
      <c r="H12" s="4"/>
      <c r="I12" s="35" t="s">
        <v>146</v>
      </c>
      <c r="J12" s="37">
        <v>46293.0</v>
      </c>
      <c r="K12" s="35" t="s">
        <v>140</v>
      </c>
      <c r="L12" s="57">
        <v>10.99</v>
      </c>
      <c r="M12" s="35" t="s">
        <v>136</v>
      </c>
      <c r="N12" s="35" t="s">
        <v>137</v>
      </c>
      <c r="O12" s="35" t="s">
        <v>142</v>
      </c>
      <c r="P12" s="39">
        <f t="shared" si="1"/>
        <v>5.00012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31" t="s">
        <v>47</v>
      </c>
      <c r="B13" s="31" t="s">
        <v>147</v>
      </c>
      <c r="C13" s="31" t="s">
        <v>50</v>
      </c>
      <c r="D13" s="31" t="s">
        <v>148</v>
      </c>
      <c r="E13" s="31" t="s">
        <v>55</v>
      </c>
      <c r="F13" s="31" t="s">
        <v>132</v>
      </c>
      <c r="G13" s="31" t="s">
        <v>81</v>
      </c>
      <c r="H13" s="4"/>
      <c r="I13" s="35"/>
      <c r="J13" s="37"/>
      <c r="K13" s="35"/>
      <c r="L13" s="57"/>
      <c r="M13" s="35"/>
      <c r="N13" s="35"/>
      <c r="O13" s="35"/>
      <c r="P13" s="39">
        <f t="shared" si="1"/>
        <v>999999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37">
        <v>46266.0</v>
      </c>
      <c r="B14" s="35" t="s">
        <v>149</v>
      </c>
      <c r="C14" s="35" t="s">
        <v>150</v>
      </c>
      <c r="D14" s="35" t="s">
        <v>151</v>
      </c>
      <c r="E14" s="57">
        <v>2800.0</v>
      </c>
      <c r="F14" s="35" t="s">
        <v>138</v>
      </c>
      <c r="G14" s="35"/>
      <c r="H14" s="4"/>
      <c r="I14" s="35"/>
      <c r="J14" s="37"/>
      <c r="K14" s="35"/>
      <c r="L14" s="57"/>
      <c r="M14" s="35"/>
      <c r="N14" s="35"/>
      <c r="O14" s="35"/>
      <c r="P14" s="39">
        <f t="shared" si="1"/>
        <v>999999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37">
        <v>46268.0</v>
      </c>
      <c r="B15" s="35" t="s">
        <v>152</v>
      </c>
      <c r="C15" s="35" t="s">
        <v>153</v>
      </c>
      <c r="D15" s="35" t="s">
        <v>152</v>
      </c>
      <c r="E15" s="57">
        <v>188.42</v>
      </c>
      <c r="F15" s="35" t="s">
        <v>138</v>
      </c>
      <c r="G15" s="35"/>
      <c r="H15" s="4"/>
      <c r="I15" s="35"/>
      <c r="J15" s="37"/>
      <c r="K15" s="35"/>
      <c r="L15" s="57"/>
      <c r="M15" s="35"/>
      <c r="N15" s="35"/>
      <c r="O15" s="35"/>
      <c r="P15" s="39">
        <f t="shared" si="1"/>
        <v>999999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37">
        <v>46270.0</v>
      </c>
      <c r="B16" s="35" t="s">
        <v>154</v>
      </c>
      <c r="C16" s="35" t="s">
        <v>153</v>
      </c>
      <c r="D16" s="35" t="s">
        <v>155</v>
      </c>
      <c r="E16" s="57">
        <v>64.19</v>
      </c>
      <c r="F16" s="35" t="s">
        <v>142</v>
      </c>
      <c r="G16" s="35"/>
      <c r="H16" s="4"/>
      <c r="I16" s="35"/>
      <c r="J16" s="37"/>
      <c r="K16" s="35"/>
      <c r="L16" s="57"/>
      <c r="M16" s="35"/>
      <c r="N16" s="35"/>
      <c r="O16" s="35"/>
      <c r="P16" s="39">
        <f t="shared" si="1"/>
        <v>999999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37">
        <v>46275.0</v>
      </c>
      <c r="B17" s="35" t="s">
        <v>156</v>
      </c>
      <c r="C17" s="35" t="s">
        <v>157</v>
      </c>
      <c r="D17" s="35" t="s">
        <v>157</v>
      </c>
      <c r="E17" s="57">
        <v>200.0</v>
      </c>
      <c r="F17" s="35" t="s">
        <v>157</v>
      </c>
      <c r="G17" s="35"/>
      <c r="H17" s="4"/>
      <c r="I17" s="35"/>
      <c r="J17" s="37"/>
      <c r="K17" s="35"/>
      <c r="L17" s="57"/>
      <c r="M17" s="35"/>
      <c r="N17" s="35"/>
      <c r="O17" s="35"/>
      <c r="P17" s="39">
        <f t="shared" si="1"/>
        <v>999999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37"/>
      <c r="B18" s="35"/>
      <c r="C18" s="35"/>
      <c r="D18" s="35"/>
      <c r="E18" s="58"/>
      <c r="F18" s="35"/>
      <c r="G18" s="35"/>
      <c r="H18" s="4"/>
      <c r="I18" s="35"/>
      <c r="J18" s="37"/>
      <c r="K18" s="35"/>
      <c r="L18" s="57"/>
      <c r="M18" s="35"/>
      <c r="N18" s="35"/>
      <c r="O18" s="35"/>
      <c r="P18" s="39">
        <f t="shared" si="1"/>
        <v>999999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37"/>
      <c r="B19" s="35"/>
      <c r="C19" s="35"/>
      <c r="D19" s="35"/>
      <c r="E19" s="57"/>
      <c r="F19" s="35"/>
      <c r="G19" s="35"/>
      <c r="H19" s="4"/>
      <c r="I19" s="35"/>
      <c r="J19" s="37"/>
      <c r="K19" s="35"/>
      <c r="L19" s="57"/>
      <c r="M19" s="35"/>
      <c r="N19" s="35"/>
      <c r="O19" s="35"/>
      <c r="P19" s="39">
        <f t="shared" si="1"/>
        <v>999999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37"/>
      <c r="B20" s="35"/>
      <c r="C20" s="35"/>
      <c r="D20" s="35"/>
      <c r="E20" s="57"/>
      <c r="F20" s="35"/>
      <c r="G20" s="35"/>
      <c r="H20" s="4"/>
      <c r="I20" s="35"/>
      <c r="J20" s="37"/>
      <c r="K20" s="35"/>
      <c r="L20" s="57"/>
      <c r="M20" s="35"/>
      <c r="N20" s="35"/>
      <c r="O20" s="35"/>
      <c r="P20" s="39">
        <f t="shared" si="1"/>
        <v>999999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37"/>
      <c r="B21" s="35"/>
      <c r="C21" s="35"/>
      <c r="D21" s="35"/>
      <c r="E21" s="57"/>
      <c r="F21" s="35"/>
      <c r="G21" s="35"/>
      <c r="H21" s="4"/>
      <c r="I21" s="35"/>
      <c r="J21" s="37"/>
      <c r="K21" s="35"/>
      <c r="L21" s="57"/>
      <c r="M21" s="35"/>
      <c r="N21" s="35"/>
      <c r="O21" s="35"/>
      <c r="P21" s="39">
        <f t="shared" si="1"/>
        <v>999999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37"/>
      <c r="B22" s="35"/>
      <c r="C22" s="35"/>
      <c r="D22" s="35"/>
      <c r="E22" s="57"/>
      <c r="F22" s="35"/>
      <c r="G22" s="35"/>
      <c r="H22" s="4"/>
      <c r="I22" s="35"/>
      <c r="J22" s="37"/>
      <c r="K22" s="35"/>
      <c r="L22" s="57"/>
      <c r="M22" s="35"/>
      <c r="N22" s="35"/>
      <c r="O22" s="35"/>
      <c r="P22" s="39">
        <f t="shared" si="1"/>
        <v>999999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37"/>
      <c r="B23" s="35"/>
      <c r="C23" s="35"/>
      <c r="D23" s="35"/>
      <c r="E23" s="57"/>
      <c r="F23" s="35"/>
      <c r="G23" s="35"/>
      <c r="H23" s="4"/>
      <c r="I23" s="35"/>
      <c r="J23" s="37"/>
      <c r="K23" s="35"/>
      <c r="L23" s="57"/>
      <c r="M23" s="35"/>
      <c r="N23" s="35"/>
      <c r="O23" s="35"/>
      <c r="P23" s="39">
        <f t="shared" si="1"/>
        <v>999999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37"/>
      <c r="B24" s="35"/>
      <c r="C24" s="35"/>
      <c r="D24" s="35"/>
      <c r="E24" s="57"/>
      <c r="F24" s="35"/>
      <c r="G24" s="35"/>
      <c r="H24" s="4"/>
      <c r="I24" s="35"/>
      <c r="J24" s="37"/>
      <c r="K24" s="35"/>
      <c r="L24" s="57"/>
      <c r="M24" s="35"/>
      <c r="N24" s="35"/>
      <c r="O24" s="35"/>
      <c r="P24" s="39">
        <f t="shared" si="1"/>
        <v>999999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37"/>
      <c r="B25" s="35"/>
      <c r="C25" s="35"/>
      <c r="D25" s="35"/>
      <c r="E25" s="57"/>
      <c r="F25" s="35"/>
      <c r="G25" s="35"/>
      <c r="H25" s="4"/>
      <c r="I25" s="35"/>
      <c r="J25" s="37"/>
      <c r="K25" s="35"/>
      <c r="L25" s="57"/>
      <c r="M25" s="35"/>
      <c r="N25" s="35"/>
      <c r="O25" s="35"/>
      <c r="P25" s="39">
        <f t="shared" si="1"/>
        <v>999999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37"/>
      <c r="B26" s="35"/>
      <c r="C26" s="35"/>
      <c r="D26" s="35"/>
      <c r="E26" s="57"/>
      <c r="F26" s="35"/>
      <c r="G26" s="35"/>
      <c r="H26" s="4"/>
      <c r="I26" s="35"/>
      <c r="J26" s="37"/>
      <c r="K26" s="35"/>
      <c r="L26" s="57"/>
      <c r="M26" s="35"/>
      <c r="N26" s="35"/>
      <c r="O26" s="35"/>
      <c r="P26" s="39">
        <f t="shared" si="1"/>
        <v>999999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37"/>
      <c r="B27" s="35"/>
      <c r="C27" s="35"/>
      <c r="D27" s="35"/>
      <c r="E27" s="57"/>
      <c r="F27" s="35"/>
      <c r="G27" s="35"/>
      <c r="H27" s="4"/>
      <c r="I27" s="35"/>
      <c r="J27" s="37"/>
      <c r="K27" s="35"/>
      <c r="L27" s="57"/>
      <c r="M27" s="35"/>
      <c r="N27" s="35"/>
      <c r="O27" s="35"/>
      <c r="P27" s="39">
        <f t="shared" si="1"/>
        <v>999999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37"/>
      <c r="B28" s="35"/>
      <c r="C28" s="35"/>
      <c r="D28" s="35"/>
      <c r="E28" s="57"/>
      <c r="F28" s="35"/>
      <c r="G28" s="35"/>
      <c r="H28" s="4"/>
      <c r="I28" s="35"/>
      <c r="J28" s="37"/>
      <c r="K28" s="35"/>
      <c r="L28" s="57"/>
      <c r="M28" s="35"/>
      <c r="N28" s="35"/>
      <c r="O28" s="35"/>
      <c r="P28" s="39">
        <f t="shared" si="1"/>
        <v>999999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37"/>
      <c r="B29" s="35"/>
      <c r="C29" s="35"/>
      <c r="D29" s="35"/>
      <c r="E29" s="57"/>
      <c r="F29" s="35"/>
      <c r="G29" s="35"/>
      <c r="H29" s="4"/>
      <c r="I29" s="35"/>
      <c r="J29" s="37"/>
      <c r="K29" s="35"/>
      <c r="L29" s="57"/>
      <c r="M29" s="35"/>
      <c r="N29" s="35"/>
      <c r="O29" s="35"/>
      <c r="P29" s="39">
        <f t="shared" si="1"/>
        <v>999999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37"/>
      <c r="B30" s="35"/>
      <c r="C30" s="35"/>
      <c r="D30" s="35"/>
      <c r="E30" s="57"/>
      <c r="F30" s="35"/>
      <c r="G30" s="35"/>
      <c r="H30" s="4"/>
      <c r="I30" s="35"/>
      <c r="J30" s="37"/>
      <c r="K30" s="35"/>
      <c r="L30" s="57"/>
      <c r="M30" s="35"/>
      <c r="N30" s="35"/>
      <c r="O30" s="35"/>
      <c r="P30" s="39">
        <f t="shared" si="1"/>
        <v>999999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37"/>
      <c r="B31" s="35"/>
      <c r="C31" s="35"/>
      <c r="D31" s="35"/>
      <c r="E31" s="57"/>
      <c r="F31" s="35"/>
      <c r="G31" s="35"/>
      <c r="H31" s="4"/>
      <c r="I31" s="35"/>
      <c r="J31" s="37"/>
      <c r="K31" s="35"/>
      <c r="L31" s="57"/>
      <c r="M31" s="35"/>
      <c r="N31" s="35"/>
      <c r="O31" s="35"/>
      <c r="P31" s="39">
        <f t="shared" si="1"/>
        <v>999999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37"/>
      <c r="B32" s="35"/>
      <c r="C32" s="35"/>
      <c r="D32" s="35"/>
      <c r="E32" s="57"/>
      <c r="F32" s="35"/>
      <c r="G32" s="35"/>
      <c r="H32" s="4"/>
      <c r="I32" s="35"/>
      <c r="J32" s="37"/>
      <c r="K32" s="35"/>
      <c r="L32" s="57"/>
      <c r="M32" s="35"/>
      <c r="N32" s="35"/>
      <c r="O32" s="35"/>
      <c r="P32" s="39">
        <f t="shared" si="1"/>
        <v>999999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37"/>
      <c r="B33" s="35"/>
      <c r="C33" s="35"/>
      <c r="D33" s="35"/>
      <c r="E33" s="57"/>
      <c r="F33" s="35"/>
      <c r="G33" s="35"/>
      <c r="H33" s="4"/>
      <c r="I33" s="35"/>
      <c r="J33" s="37"/>
      <c r="K33" s="35"/>
      <c r="L33" s="57"/>
      <c r="M33" s="35"/>
      <c r="N33" s="35"/>
      <c r="O33" s="35"/>
      <c r="P33" s="39">
        <f t="shared" si="1"/>
        <v>999999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37"/>
      <c r="B34" s="35"/>
      <c r="C34" s="35"/>
      <c r="D34" s="35"/>
      <c r="E34" s="57"/>
      <c r="F34" s="35"/>
      <c r="G34" s="35"/>
      <c r="H34" s="4"/>
      <c r="I34" s="35"/>
      <c r="J34" s="37"/>
      <c r="K34" s="35"/>
      <c r="L34" s="57"/>
      <c r="M34" s="35"/>
      <c r="N34" s="35"/>
      <c r="O34" s="35"/>
      <c r="P34" s="39">
        <f t="shared" si="1"/>
        <v>999999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37"/>
      <c r="B35" s="35"/>
      <c r="C35" s="35"/>
      <c r="D35" s="35"/>
      <c r="E35" s="57"/>
      <c r="F35" s="35"/>
      <c r="G35" s="35"/>
      <c r="H35" s="4"/>
      <c r="I35" s="35"/>
      <c r="J35" s="37"/>
      <c r="K35" s="35"/>
      <c r="L35" s="57"/>
      <c r="M35" s="35"/>
      <c r="N35" s="35"/>
      <c r="O35" s="35"/>
      <c r="P35" s="39">
        <f t="shared" si="1"/>
        <v>999999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37"/>
      <c r="B36" s="35"/>
      <c r="C36" s="35"/>
      <c r="D36" s="35"/>
      <c r="E36" s="57"/>
      <c r="F36" s="35"/>
      <c r="G36" s="35"/>
      <c r="H36" s="4"/>
      <c r="I36" s="35"/>
      <c r="J36" s="37"/>
      <c r="K36" s="35"/>
      <c r="L36" s="57"/>
      <c r="M36" s="35"/>
      <c r="N36" s="35"/>
      <c r="O36" s="35"/>
      <c r="P36" s="39">
        <f t="shared" si="1"/>
        <v>999999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37"/>
      <c r="B37" s="35"/>
      <c r="C37" s="35"/>
      <c r="D37" s="35"/>
      <c r="E37" s="57"/>
      <c r="F37" s="35"/>
      <c r="G37" s="35"/>
      <c r="H37" s="4"/>
      <c r="I37" s="35"/>
      <c r="J37" s="37"/>
      <c r="K37" s="35"/>
      <c r="L37" s="57"/>
      <c r="M37" s="35"/>
      <c r="N37" s="35"/>
      <c r="O37" s="35"/>
      <c r="P37" s="39">
        <f t="shared" si="1"/>
        <v>999999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37"/>
      <c r="B38" s="35"/>
      <c r="C38" s="35"/>
      <c r="D38" s="35"/>
      <c r="E38" s="57"/>
      <c r="F38" s="35"/>
      <c r="G38" s="35"/>
      <c r="H38" s="4"/>
      <c r="I38" s="35"/>
      <c r="J38" s="37"/>
      <c r="K38" s="35"/>
      <c r="L38" s="57"/>
      <c r="M38" s="35"/>
      <c r="N38" s="35"/>
      <c r="O38" s="35"/>
      <c r="P38" s="39">
        <f t="shared" si="1"/>
        <v>999999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37"/>
      <c r="B39" s="35"/>
      <c r="C39" s="35"/>
      <c r="D39" s="35"/>
      <c r="E39" s="57"/>
      <c r="F39" s="35"/>
      <c r="G39" s="35"/>
      <c r="H39" s="4"/>
      <c r="I39" s="35"/>
      <c r="J39" s="37"/>
      <c r="K39" s="35"/>
      <c r="L39" s="57"/>
      <c r="M39" s="35"/>
      <c r="N39" s="35"/>
      <c r="O39" s="35"/>
      <c r="P39" s="39">
        <f t="shared" si="1"/>
        <v>999999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37"/>
      <c r="B40" s="35"/>
      <c r="C40" s="35"/>
      <c r="D40" s="35"/>
      <c r="E40" s="57"/>
      <c r="F40" s="35"/>
      <c r="G40" s="35"/>
      <c r="H40" s="4"/>
      <c r="I40" s="35"/>
      <c r="J40" s="37"/>
      <c r="K40" s="35"/>
      <c r="L40" s="57"/>
      <c r="M40" s="35"/>
      <c r="N40" s="35"/>
      <c r="O40" s="35"/>
      <c r="P40" s="39">
        <f t="shared" si="1"/>
        <v>999999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37"/>
      <c r="B41" s="35"/>
      <c r="C41" s="35"/>
      <c r="D41" s="35"/>
      <c r="E41" s="57"/>
      <c r="F41" s="35"/>
      <c r="G41" s="35"/>
      <c r="H41" s="4"/>
      <c r="I41" s="35"/>
      <c r="J41" s="37"/>
      <c r="K41" s="35"/>
      <c r="L41" s="57"/>
      <c r="M41" s="35"/>
      <c r="N41" s="35"/>
      <c r="O41" s="35"/>
      <c r="P41" s="39">
        <f t="shared" si="1"/>
        <v>999999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37"/>
      <c r="B42" s="35"/>
      <c r="C42" s="35"/>
      <c r="D42" s="35"/>
      <c r="E42" s="57"/>
      <c r="F42" s="35"/>
      <c r="G42" s="35"/>
      <c r="H42" s="4"/>
      <c r="I42" s="35"/>
      <c r="J42" s="37"/>
      <c r="K42" s="35"/>
      <c r="L42" s="57"/>
      <c r="M42" s="35"/>
      <c r="N42" s="35"/>
      <c r="O42" s="35"/>
      <c r="P42" s="39">
        <f t="shared" si="1"/>
        <v>999999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37"/>
      <c r="B43" s="35"/>
      <c r="C43" s="35"/>
      <c r="D43" s="35"/>
      <c r="E43" s="57"/>
      <c r="F43" s="35"/>
      <c r="G43" s="35"/>
      <c r="H43" s="4"/>
      <c r="I43" s="35"/>
      <c r="J43" s="37"/>
      <c r="K43" s="35"/>
      <c r="L43" s="57"/>
      <c r="M43" s="35"/>
      <c r="N43" s="35"/>
      <c r="O43" s="35"/>
      <c r="P43" s="39">
        <f t="shared" si="1"/>
        <v>999999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37"/>
      <c r="B44" s="35"/>
      <c r="C44" s="35"/>
      <c r="D44" s="35"/>
      <c r="E44" s="57"/>
      <c r="F44" s="35"/>
      <c r="G44" s="35"/>
      <c r="H44" s="4"/>
      <c r="I44" s="35"/>
      <c r="J44" s="37"/>
      <c r="K44" s="35"/>
      <c r="L44" s="57"/>
      <c r="M44" s="35"/>
      <c r="N44" s="35"/>
      <c r="O44" s="35"/>
      <c r="P44" s="39">
        <f t="shared" si="1"/>
        <v>999999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37"/>
      <c r="B45" s="35"/>
      <c r="C45" s="35"/>
      <c r="D45" s="35"/>
      <c r="E45" s="57"/>
      <c r="F45" s="35"/>
      <c r="G45" s="35"/>
      <c r="H45" s="4"/>
      <c r="I45" s="35"/>
      <c r="J45" s="37"/>
      <c r="K45" s="35"/>
      <c r="L45" s="57"/>
      <c r="M45" s="35"/>
      <c r="N45" s="35"/>
      <c r="O45" s="35"/>
      <c r="P45" s="39">
        <f t="shared" si="1"/>
        <v>999999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37"/>
      <c r="B46" s="35"/>
      <c r="C46" s="35"/>
      <c r="D46" s="35"/>
      <c r="E46" s="57"/>
      <c r="F46" s="35"/>
      <c r="G46" s="35"/>
      <c r="H46" s="4"/>
      <c r="I46" s="35"/>
      <c r="J46" s="37"/>
      <c r="K46" s="35"/>
      <c r="L46" s="57"/>
      <c r="M46" s="35"/>
      <c r="N46" s="35"/>
      <c r="O46" s="35"/>
      <c r="P46" s="39">
        <f t="shared" si="1"/>
        <v>999999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37"/>
      <c r="B47" s="35"/>
      <c r="C47" s="35"/>
      <c r="D47" s="35"/>
      <c r="E47" s="57"/>
      <c r="F47" s="35"/>
      <c r="G47" s="35"/>
      <c r="H47" s="4"/>
      <c r="I47" s="35"/>
      <c r="J47" s="37"/>
      <c r="K47" s="35"/>
      <c r="L47" s="57"/>
      <c r="M47" s="35"/>
      <c r="N47" s="35"/>
      <c r="O47" s="35"/>
      <c r="P47" s="39">
        <f t="shared" si="1"/>
        <v>999999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37"/>
      <c r="B48" s="35"/>
      <c r="C48" s="35"/>
      <c r="D48" s="35"/>
      <c r="E48" s="57"/>
      <c r="F48" s="35"/>
      <c r="G48" s="35"/>
      <c r="H48" s="4"/>
      <c r="I48" s="35"/>
      <c r="J48" s="37"/>
      <c r="K48" s="35"/>
      <c r="L48" s="57"/>
      <c r="M48" s="35"/>
      <c r="N48" s="35"/>
      <c r="O48" s="35"/>
      <c r="P48" s="39">
        <f t="shared" si="1"/>
        <v>999999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37"/>
      <c r="B49" s="35"/>
      <c r="C49" s="35"/>
      <c r="D49" s="35"/>
      <c r="E49" s="57"/>
      <c r="F49" s="35"/>
      <c r="G49" s="35"/>
      <c r="H49" s="4"/>
      <c r="I49" s="35"/>
      <c r="J49" s="37"/>
      <c r="K49" s="35"/>
      <c r="L49" s="57"/>
      <c r="M49" s="35"/>
      <c r="N49" s="35"/>
      <c r="O49" s="35"/>
      <c r="P49" s="39">
        <f t="shared" si="1"/>
        <v>999999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37"/>
      <c r="B50" s="35"/>
      <c r="C50" s="35"/>
      <c r="D50" s="35"/>
      <c r="E50" s="57"/>
      <c r="F50" s="35"/>
      <c r="G50" s="35"/>
      <c r="H50" s="4"/>
      <c r="I50" s="35"/>
      <c r="J50" s="37"/>
      <c r="K50" s="35"/>
      <c r="L50" s="57"/>
      <c r="M50" s="35"/>
      <c r="N50" s="35"/>
      <c r="O50" s="35"/>
      <c r="P50" s="39">
        <f t="shared" si="1"/>
        <v>999999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37"/>
      <c r="B51" s="35"/>
      <c r="C51" s="35"/>
      <c r="D51" s="35"/>
      <c r="E51" s="57"/>
      <c r="F51" s="35"/>
      <c r="G51" s="35"/>
      <c r="H51" s="4"/>
      <c r="I51" s="35"/>
      <c r="J51" s="37"/>
      <c r="K51" s="35"/>
      <c r="L51" s="57"/>
      <c r="M51" s="35"/>
      <c r="N51" s="35"/>
      <c r="O51" s="35"/>
      <c r="P51" s="39">
        <f t="shared" si="1"/>
        <v>999999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37"/>
      <c r="B52" s="35"/>
      <c r="C52" s="35"/>
      <c r="D52" s="35"/>
      <c r="E52" s="57"/>
      <c r="F52" s="35"/>
      <c r="G52" s="35"/>
      <c r="H52" s="4"/>
      <c r="I52" s="35"/>
      <c r="J52" s="37"/>
      <c r="K52" s="35"/>
      <c r="L52" s="57"/>
      <c r="M52" s="35"/>
      <c r="N52" s="35"/>
      <c r="O52" s="35"/>
      <c r="P52" s="39">
        <f t="shared" si="1"/>
        <v>999999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37"/>
      <c r="B53" s="35"/>
      <c r="C53" s="35"/>
      <c r="D53" s="35"/>
      <c r="E53" s="57"/>
      <c r="F53" s="35"/>
      <c r="G53" s="35"/>
      <c r="H53" s="4"/>
      <c r="I53" s="35"/>
      <c r="J53" s="37"/>
      <c r="K53" s="35"/>
      <c r="L53" s="57"/>
      <c r="M53" s="35"/>
      <c r="N53" s="35"/>
      <c r="O53" s="35"/>
      <c r="P53" s="39">
        <f t="shared" si="1"/>
        <v>999999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37"/>
      <c r="B54" s="35"/>
      <c r="C54" s="35"/>
      <c r="D54" s="35"/>
      <c r="E54" s="57"/>
      <c r="F54" s="35"/>
      <c r="G54" s="35"/>
      <c r="H54" s="4"/>
      <c r="I54" s="35"/>
      <c r="J54" s="37"/>
      <c r="K54" s="35"/>
      <c r="L54" s="57"/>
      <c r="M54" s="35"/>
      <c r="N54" s="35"/>
      <c r="O54" s="35"/>
      <c r="P54" s="39">
        <f t="shared" si="1"/>
        <v>999999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37"/>
      <c r="B55" s="35"/>
      <c r="C55" s="35"/>
      <c r="D55" s="35"/>
      <c r="E55" s="57"/>
      <c r="F55" s="35"/>
      <c r="G55" s="35"/>
      <c r="H55" s="4"/>
      <c r="I55" s="35"/>
      <c r="J55" s="37"/>
      <c r="K55" s="35"/>
      <c r="L55" s="57"/>
      <c r="M55" s="35"/>
      <c r="N55" s="35"/>
      <c r="O55" s="35"/>
      <c r="P55" s="39">
        <f t="shared" si="1"/>
        <v>999999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37"/>
      <c r="B56" s="35"/>
      <c r="C56" s="35"/>
      <c r="D56" s="35"/>
      <c r="E56" s="57"/>
      <c r="F56" s="35"/>
      <c r="G56" s="35"/>
      <c r="H56" s="4"/>
      <c r="I56" s="35"/>
      <c r="J56" s="37"/>
      <c r="K56" s="35"/>
      <c r="L56" s="57"/>
      <c r="M56" s="35"/>
      <c r="N56" s="35"/>
      <c r="O56" s="35"/>
      <c r="P56" s="39">
        <f t="shared" si="1"/>
        <v>999999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37"/>
      <c r="B57" s="35"/>
      <c r="C57" s="35"/>
      <c r="D57" s="35"/>
      <c r="E57" s="57"/>
      <c r="F57" s="35"/>
      <c r="G57" s="35"/>
      <c r="H57" s="4"/>
      <c r="I57" s="35"/>
      <c r="J57" s="37"/>
      <c r="K57" s="35"/>
      <c r="L57" s="57"/>
      <c r="M57" s="35"/>
      <c r="N57" s="35"/>
      <c r="O57" s="35"/>
      <c r="P57" s="39">
        <f t="shared" si="1"/>
        <v>999999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37"/>
      <c r="B58" s="35"/>
      <c r="C58" s="35"/>
      <c r="D58" s="35"/>
      <c r="E58" s="57"/>
      <c r="F58" s="35"/>
      <c r="G58" s="35"/>
      <c r="H58" s="4"/>
      <c r="I58" s="35"/>
      <c r="J58" s="37"/>
      <c r="K58" s="35"/>
      <c r="L58" s="57"/>
      <c r="M58" s="35"/>
      <c r="N58" s="35"/>
      <c r="O58" s="35"/>
      <c r="P58" s="39">
        <f t="shared" si="1"/>
        <v>999999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37"/>
      <c r="B59" s="35"/>
      <c r="C59" s="35"/>
      <c r="D59" s="35"/>
      <c r="E59" s="57"/>
      <c r="F59" s="35"/>
      <c r="G59" s="35"/>
      <c r="H59" s="4"/>
      <c r="I59" s="35"/>
      <c r="J59" s="37"/>
      <c r="K59" s="35"/>
      <c r="L59" s="57"/>
      <c r="M59" s="35"/>
      <c r="N59" s="35"/>
      <c r="O59" s="35"/>
      <c r="P59" s="39">
        <f t="shared" si="1"/>
        <v>999999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37"/>
      <c r="B60" s="35"/>
      <c r="C60" s="35"/>
      <c r="D60" s="35"/>
      <c r="E60" s="57"/>
      <c r="F60" s="35"/>
      <c r="G60" s="35"/>
      <c r="H60" s="4"/>
      <c r="I60" s="35"/>
      <c r="J60" s="37"/>
      <c r="K60" s="35"/>
      <c r="L60" s="57"/>
      <c r="M60" s="35"/>
      <c r="N60" s="35"/>
      <c r="O60" s="35"/>
      <c r="P60" s="39">
        <f t="shared" si="1"/>
        <v>999999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37"/>
      <c r="B61" s="35"/>
      <c r="C61" s="35"/>
      <c r="D61" s="35"/>
      <c r="E61" s="57"/>
      <c r="F61" s="35"/>
      <c r="G61" s="35"/>
      <c r="H61" s="4"/>
      <c r="I61" s="35"/>
      <c r="J61" s="37"/>
      <c r="K61" s="35"/>
      <c r="L61" s="57"/>
      <c r="M61" s="35"/>
      <c r="N61" s="35"/>
      <c r="O61" s="35"/>
      <c r="P61" s="39">
        <f t="shared" si="1"/>
        <v>999999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37"/>
      <c r="B62" s="35"/>
      <c r="C62" s="35"/>
      <c r="D62" s="35"/>
      <c r="E62" s="57"/>
      <c r="F62" s="35"/>
      <c r="G62" s="35"/>
      <c r="H62" s="4"/>
      <c r="I62" s="35"/>
      <c r="J62" s="37"/>
      <c r="K62" s="35"/>
      <c r="L62" s="57"/>
      <c r="M62" s="35"/>
      <c r="N62" s="35"/>
      <c r="O62" s="35"/>
      <c r="P62" s="39">
        <f t="shared" si="1"/>
        <v>999999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37"/>
      <c r="B63" s="35"/>
      <c r="C63" s="35"/>
      <c r="D63" s="35"/>
      <c r="E63" s="57"/>
      <c r="F63" s="35"/>
      <c r="G63" s="35"/>
      <c r="H63" s="4"/>
      <c r="I63" s="35"/>
      <c r="J63" s="37"/>
      <c r="K63" s="35"/>
      <c r="L63" s="57"/>
      <c r="M63" s="35"/>
      <c r="N63" s="35"/>
      <c r="O63" s="35"/>
      <c r="P63" s="39">
        <f t="shared" si="1"/>
        <v>999999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37"/>
      <c r="B64" s="35"/>
      <c r="C64" s="35"/>
      <c r="D64" s="35"/>
      <c r="E64" s="57"/>
      <c r="F64" s="35"/>
      <c r="G64" s="35"/>
      <c r="H64" s="4"/>
      <c r="I64" s="35"/>
      <c r="J64" s="37"/>
      <c r="K64" s="35"/>
      <c r="L64" s="57"/>
      <c r="M64" s="35"/>
      <c r="N64" s="35"/>
      <c r="O64" s="35"/>
      <c r="P64" s="39">
        <f t="shared" si="1"/>
        <v>999999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37"/>
      <c r="B65" s="35"/>
      <c r="C65" s="35"/>
      <c r="D65" s="35"/>
      <c r="E65" s="57"/>
      <c r="F65" s="35"/>
      <c r="G65" s="35"/>
      <c r="H65" s="4"/>
      <c r="I65" s="35"/>
      <c r="J65" s="37"/>
      <c r="K65" s="35"/>
      <c r="L65" s="57"/>
      <c r="M65" s="35"/>
      <c r="N65" s="35"/>
      <c r="O65" s="35"/>
      <c r="P65" s="39">
        <f t="shared" si="1"/>
        <v>999999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37"/>
      <c r="B66" s="35"/>
      <c r="C66" s="35"/>
      <c r="D66" s="35"/>
      <c r="E66" s="57"/>
      <c r="F66" s="35"/>
      <c r="G66" s="35"/>
      <c r="H66" s="4"/>
      <c r="I66" s="35"/>
      <c r="J66" s="37"/>
      <c r="K66" s="35"/>
      <c r="L66" s="57"/>
      <c r="M66" s="35"/>
      <c r="N66" s="35"/>
      <c r="O66" s="35"/>
      <c r="P66" s="39">
        <f t="shared" si="1"/>
        <v>999999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37"/>
      <c r="B67" s="35"/>
      <c r="C67" s="35"/>
      <c r="D67" s="35"/>
      <c r="E67" s="57"/>
      <c r="F67" s="35"/>
      <c r="G67" s="35"/>
      <c r="H67" s="4"/>
      <c r="I67" s="35"/>
      <c r="J67" s="37"/>
      <c r="K67" s="35"/>
      <c r="L67" s="57"/>
      <c r="M67" s="35"/>
      <c r="N67" s="35"/>
      <c r="O67" s="35"/>
      <c r="P67" s="39">
        <f t="shared" si="1"/>
        <v>999999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37"/>
      <c r="B68" s="35"/>
      <c r="C68" s="35"/>
      <c r="D68" s="35"/>
      <c r="E68" s="57"/>
      <c r="F68" s="35"/>
      <c r="G68" s="35"/>
      <c r="H68" s="4"/>
      <c r="I68" s="35"/>
      <c r="J68" s="37"/>
      <c r="K68" s="35"/>
      <c r="L68" s="57"/>
      <c r="M68" s="35"/>
      <c r="N68" s="35"/>
      <c r="O68" s="35"/>
      <c r="P68" s="39">
        <f t="shared" si="1"/>
        <v>999999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37"/>
      <c r="B69" s="35"/>
      <c r="C69" s="35"/>
      <c r="D69" s="35"/>
      <c r="E69" s="57"/>
      <c r="F69" s="35"/>
      <c r="G69" s="35"/>
      <c r="H69" s="4"/>
      <c r="I69" s="35"/>
      <c r="J69" s="37"/>
      <c r="K69" s="35"/>
      <c r="L69" s="57"/>
      <c r="M69" s="35"/>
      <c r="N69" s="35"/>
      <c r="O69" s="35"/>
      <c r="P69" s="39">
        <f t="shared" si="1"/>
        <v>999999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37"/>
      <c r="B70" s="35"/>
      <c r="C70" s="35"/>
      <c r="D70" s="35"/>
      <c r="E70" s="57"/>
      <c r="F70" s="35"/>
      <c r="G70" s="35"/>
      <c r="H70" s="4"/>
      <c r="I70" s="35"/>
      <c r="J70" s="37"/>
      <c r="K70" s="35"/>
      <c r="L70" s="57"/>
      <c r="M70" s="35"/>
      <c r="N70" s="35"/>
      <c r="O70" s="35"/>
      <c r="P70" s="39">
        <f t="shared" si="1"/>
        <v>999999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37"/>
      <c r="B71" s="35"/>
      <c r="C71" s="35"/>
      <c r="D71" s="35"/>
      <c r="E71" s="57"/>
      <c r="F71" s="35"/>
      <c r="G71" s="35"/>
      <c r="H71" s="4"/>
      <c r="I71" s="35"/>
      <c r="J71" s="37"/>
      <c r="K71" s="35"/>
      <c r="L71" s="57"/>
      <c r="M71" s="35"/>
      <c r="N71" s="35"/>
      <c r="O71" s="35"/>
      <c r="P71" s="39">
        <f t="shared" si="1"/>
        <v>999999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37"/>
      <c r="B72" s="35"/>
      <c r="C72" s="35"/>
      <c r="D72" s="35"/>
      <c r="E72" s="57"/>
      <c r="F72" s="35"/>
      <c r="G72" s="35"/>
      <c r="H72" s="4"/>
      <c r="I72" s="35"/>
      <c r="J72" s="37"/>
      <c r="K72" s="35"/>
      <c r="L72" s="57"/>
      <c r="M72" s="35"/>
      <c r="N72" s="35"/>
      <c r="O72" s="35"/>
      <c r="P72" s="39">
        <f t="shared" si="1"/>
        <v>999999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37"/>
      <c r="B73" s="35"/>
      <c r="C73" s="35"/>
      <c r="D73" s="35"/>
      <c r="E73" s="57"/>
      <c r="F73" s="35"/>
      <c r="G73" s="35"/>
      <c r="H73" s="4"/>
      <c r="I73" s="35"/>
      <c r="J73" s="37"/>
      <c r="K73" s="35"/>
      <c r="L73" s="57"/>
      <c r="M73" s="35"/>
      <c r="N73" s="35"/>
      <c r="O73" s="35"/>
      <c r="P73" s="39">
        <f t="shared" si="1"/>
        <v>999999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37"/>
      <c r="B74" s="35"/>
      <c r="C74" s="35"/>
      <c r="D74" s="35"/>
      <c r="E74" s="57"/>
      <c r="F74" s="35"/>
      <c r="G74" s="35"/>
      <c r="H74" s="4"/>
      <c r="I74" s="35"/>
      <c r="J74" s="37"/>
      <c r="K74" s="35"/>
      <c r="L74" s="57"/>
      <c r="M74" s="35"/>
      <c r="N74" s="35"/>
      <c r="O74" s="35"/>
      <c r="P74" s="39">
        <f t="shared" si="1"/>
        <v>999999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37"/>
      <c r="B75" s="35"/>
      <c r="C75" s="35"/>
      <c r="D75" s="35"/>
      <c r="E75" s="57"/>
      <c r="F75" s="35"/>
      <c r="G75" s="35"/>
      <c r="H75" s="4"/>
      <c r="I75" s="35"/>
      <c r="J75" s="37"/>
      <c r="K75" s="35"/>
      <c r="L75" s="57"/>
      <c r="M75" s="35"/>
      <c r="N75" s="35"/>
      <c r="O75" s="35"/>
      <c r="P75" s="39">
        <f t="shared" si="1"/>
        <v>999999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37"/>
      <c r="B76" s="35"/>
      <c r="C76" s="35"/>
      <c r="D76" s="35"/>
      <c r="E76" s="57"/>
      <c r="F76" s="35"/>
      <c r="G76" s="35"/>
      <c r="H76" s="4"/>
      <c r="I76" s="35"/>
      <c r="J76" s="37"/>
      <c r="K76" s="35"/>
      <c r="L76" s="57"/>
      <c r="M76" s="35"/>
      <c r="N76" s="35"/>
      <c r="O76" s="35"/>
      <c r="P76" s="39">
        <f t="shared" si="1"/>
        <v>999999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37"/>
      <c r="B77" s="35"/>
      <c r="C77" s="35"/>
      <c r="D77" s="35"/>
      <c r="E77" s="57"/>
      <c r="F77" s="35"/>
      <c r="G77" s="35"/>
      <c r="H77" s="4"/>
      <c r="I77" s="35"/>
      <c r="J77" s="37"/>
      <c r="K77" s="35"/>
      <c r="L77" s="57"/>
      <c r="M77" s="35"/>
      <c r="N77" s="35"/>
      <c r="O77" s="35"/>
      <c r="P77" s="39">
        <f t="shared" si="1"/>
        <v>999999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37"/>
      <c r="B78" s="35"/>
      <c r="C78" s="35"/>
      <c r="D78" s="35"/>
      <c r="E78" s="57"/>
      <c r="F78" s="35"/>
      <c r="G78" s="35"/>
      <c r="H78" s="4"/>
      <c r="I78" s="35"/>
      <c r="J78" s="37"/>
      <c r="K78" s="35"/>
      <c r="L78" s="57"/>
      <c r="M78" s="35"/>
      <c r="N78" s="35"/>
      <c r="O78" s="35"/>
      <c r="P78" s="39">
        <f t="shared" si="1"/>
        <v>999999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37"/>
      <c r="B79" s="35"/>
      <c r="C79" s="35"/>
      <c r="D79" s="35"/>
      <c r="E79" s="57"/>
      <c r="F79" s="35"/>
      <c r="G79" s="35"/>
      <c r="H79" s="4"/>
      <c r="I79" s="35"/>
      <c r="J79" s="37"/>
      <c r="K79" s="35"/>
      <c r="L79" s="57"/>
      <c r="M79" s="35"/>
      <c r="N79" s="35"/>
      <c r="O79" s="35"/>
      <c r="P79" s="39">
        <f t="shared" si="1"/>
        <v>999999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37"/>
      <c r="B80" s="35"/>
      <c r="C80" s="35"/>
      <c r="D80" s="35"/>
      <c r="E80" s="57"/>
      <c r="F80" s="35"/>
      <c r="G80" s="35"/>
      <c r="H80" s="4"/>
      <c r="I80" s="35"/>
      <c r="J80" s="37"/>
      <c r="K80" s="35"/>
      <c r="L80" s="57"/>
      <c r="M80" s="35"/>
      <c r="N80" s="35"/>
      <c r="O80" s="35"/>
      <c r="P80" s="39">
        <f t="shared" si="1"/>
        <v>999999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37"/>
      <c r="B81" s="35"/>
      <c r="C81" s="35"/>
      <c r="D81" s="35"/>
      <c r="E81" s="57"/>
      <c r="F81" s="35"/>
      <c r="G81" s="35"/>
      <c r="H81" s="4"/>
      <c r="I81" s="35"/>
      <c r="J81" s="37"/>
      <c r="K81" s="35"/>
      <c r="L81" s="57"/>
      <c r="M81" s="35"/>
      <c r="N81" s="35"/>
      <c r="O81" s="35"/>
      <c r="P81" s="39">
        <f t="shared" si="1"/>
        <v>999999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37"/>
      <c r="B82" s="35"/>
      <c r="C82" s="35"/>
      <c r="D82" s="35"/>
      <c r="E82" s="57"/>
      <c r="F82" s="35"/>
      <c r="G82" s="35"/>
      <c r="H82" s="4"/>
      <c r="I82" s="35"/>
      <c r="J82" s="37"/>
      <c r="K82" s="35"/>
      <c r="L82" s="57"/>
      <c r="M82" s="35"/>
      <c r="N82" s="35"/>
      <c r="O82" s="35"/>
      <c r="P82" s="39">
        <f t="shared" si="1"/>
        <v>999999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37"/>
      <c r="B83" s="35"/>
      <c r="C83" s="35"/>
      <c r="D83" s="35"/>
      <c r="E83" s="57"/>
      <c r="F83" s="35"/>
      <c r="G83" s="35"/>
      <c r="H83" s="4"/>
      <c r="I83" s="35"/>
      <c r="J83" s="37"/>
      <c r="K83" s="35"/>
      <c r="L83" s="57"/>
      <c r="M83" s="35"/>
      <c r="N83" s="35"/>
      <c r="O83" s="35"/>
      <c r="P83" s="39">
        <f t="shared" si="1"/>
        <v>999999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37"/>
      <c r="B84" s="35"/>
      <c r="C84" s="35"/>
      <c r="D84" s="35"/>
      <c r="E84" s="57"/>
      <c r="F84" s="35"/>
      <c r="G84" s="35"/>
      <c r="H84" s="4"/>
      <c r="I84" s="35"/>
      <c r="J84" s="37"/>
      <c r="K84" s="35"/>
      <c r="L84" s="57"/>
      <c r="M84" s="35"/>
      <c r="N84" s="35"/>
      <c r="O84" s="35"/>
      <c r="P84" s="39">
        <f t="shared" si="1"/>
        <v>999999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37"/>
      <c r="B85" s="35"/>
      <c r="C85" s="35"/>
      <c r="D85" s="35"/>
      <c r="E85" s="57"/>
      <c r="F85" s="35"/>
      <c r="G85" s="35"/>
      <c r="H85" s="4"/>
      <c r="I85" s="35"/>
      <c r="J85" s="37"/>
      <c r="K85" s="35"/>
      <c r="L85" s="57"/>
      <c r="M85" s="35"/>
      <c r="N85" s="35"/>
      <c r="O85" s="35"/>
      <c r="P85" s="39">
        <f t="shared" si="1"/>
        <v>999999</v>
      </c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37"/>
      <c r="B86" s="35"/>
      <c r="C86" s="35"/>
      <c r="D86" s="35"/>
      <c r="E86" s="57"/>
      <c r="F86" s="35"/>
      <c r="G86" s="35"/>
      <c r="H86" s="4"/>
      <c r="I86" s="35"/>
      <c r="J86" s="37"/>
      <c r="K86" s="35"/>
      <c r="L86" s="57"/>
      <c r="M86" s="35"/>
      <c r="N86" s="35"/>
      <c r="O86" s="35"/>
      <c r="P86" s="39">
        <f t="shared" si="1"/>
        <v>999999</v>
      </c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37"/>
      <c r="B87" s="35"/>
      <c r="C87" s="35"/>
      <c r="D87" s="35"/>
      <c r="E87" s="57"/>
      <c r="F87" s="35"/>
      <c r="G87" s="35"/>
      <c r="H87" s="4"/>
      <c r="I87" s="35"/>
      <c r="J87" s="37"/>
      <c r="K87" s="35"/>
      <c r="L87" s="57"/>
      <c r="M87" s="35"/>
      <c r="N87" s="35"/>
      <c r="O87" s="35"/>
      <c r="P87" s="39">
        <f t="shared" si="1"/>
        <v>999999</v>
      </c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37"/>
      <c r="B88" s="35"/>
      <c r="C88" s="35"/>
      <c r="D88" s="35"/>
      <c r="E88" s="57"/>
      <c r="F88" s="35"/>
      <c r="G88" s="35"/>
      <c r="H88" s="4"/>
      <c r="I88" s="35"/>
      <c r="J88" s="37"/>
      <c r="K88" s="35"/>
      <c r="L88" s="57"/>
      <c r="M88" s="35"/>
      <c r="N88" s="35"/>
      <c r="O88" s="35"/>
      <c r="P88" s="39">
        <f t="shared" si="1"/>
        <v>999999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37"/>
      <c r="B89" s="35"/>
      <c r="C89" s="35"/>
      <c r="D89" s="35"/>
      <c r="E89" s="57"/>
      <c r="F89" s="35"/>
      <c r="G89" s="35"/>
      <c r="H89" s="4"/>
      <c r="I89" s="35"/>
      <c r="J89" s="37"/>
      <c r="K89" s="35"/>
      <c r="L89" s="57"/>
      <c r="M89" s="35"/>
      <c r="N89" s="35"/>
      <c r="O89" s="35"/>
      <c r="P89" s="39">
        <f t="shared" si="1"/>
        <v>999999</v>
      </c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37"/>
      <c r="B90" s="35"/>
      <c r="C90" s="35"/>
      <c r="D90" s="35"/>
      <c r="E90" s="57"/>
      <c r="F90" s="35"/>
      <c r="G90" s="35"/>
      <c r="H90" s="4"/>
      <c r="I90" s="35"/>
      <c r="J90" s="37"/>
      <c r="K90" s="35"/>
      <c r="L90" s="57"/>
      <c r="M90" s="35"/>
      <c r="N90" s="35"/>
      <c r="O90" s="35"/>
      <c r="P90" s="39">
        <f t="shared" si="1"/>
        <v>999999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37"/>
      <c r="B91" s="35"/>
      <c r="C91" s="35"/>
      <c r="D91" s="35"/>
      <c r="E91" s="57"/>
      <c r="F91" s="35"/>
      <c r="G91" s="35"/>
      <c r="H91" s="4"/>
      <c r="I91" s="35"/>
      <c r="J91" s="37"/>
      <c r="K91" s="35"/>
      <c r="L91" s="57"/>
      <c r="M91" s="35"/>
      <c r="N91" s="35"/>
      <c r="O91" s="35"/>
      <c r="P91" s="39">
        <f t="shared" si="1"/>
        <v>999999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37"/>
      <c r="B92" s="35"/>
      <c r="C92" s="35"/>
      <c r="D92" s="35"/>
      <c r="E92" s="57"/>
      <c r="F92" s="35"/>
      <c r="G92" s="35"/>
      <c r="H92" s="4"/>
      <c r="I92" s="35"/>
      <c r="J92" s="37"/>
      <c r="K92" s="35"/>
      <c r="L92" s="57"/>
      <c r="M92" s="35"/>
      <c r="N92" s="35"/>
      <c r="O92" s="35"/>
      <c r="P92" s="39">
        <f t="shared" si="1"/>
        <v>999999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37"/>
      <c r="B93" s="35"/>
      <c r="C93" s="35"/>
      <c r="D93" s="35"/>
      <c r="E93" s="57"/>
      <c r="F93" s="35"/>
      <c r="G93" s="35"/>
      <c r="H93" s="4"/>
      <c r="I93" s="35"/>
      <c r="J93" s="37"/>
      <c r="K93" s="35"/>
      <c r="L93" s="57"/>
      <c r="M93" s="35"/>
      <c r="N93" s="35"/>
      <c r="O93" s="35"/>
      <c r="P93" s="39">
        <f t="shared" si="1"/>
        <v>999999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37"/>
      <c r="B94" s="35"/>
      <c r="C94" s="35"/>
      <c r="D94" s="35"/>
      <c r="E94" s="57"/>
      <c r="F94" s="35"/>
      <c r="G94" s="35"/>
      <c r="H94" s="4"/>
      <c r="I94" s="35"/>
      <c r="J94" s="37"/>
      <c r="K94" s="35"/>
      <c r="L94" s="57"/>
      <c r="M94" s="35"/>
      <c r="N94" s="35"/>
      <c r="O94" s="35"/>
      <c r="P94" s="39">
        <f t="shared" si="1"/>
        <v>999999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37"/>
      <c r="B95" s="35"/>
      <c r="C95" s="35"/>
      <c r="D95" s="35"/>
      <c r="E95" s="57"/>
      <c r="F95" s="35"/>
      <c r="G95" s="35"/>
      <c r="H95" s="4"/>
      <c r="I95" s="35"/>
      <c r="J95" s="37"/>
      <c r="K95" s="35"/>
      <c r="L95" s="57"/>
      <c r="M95" s="35"/>
      <c r="N95" s="35"/>
      <c r="O95" s="35"/>
      <c r="P95" s="39">
        <f t="shared" si="1"/>
        <v>999999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37"/>
      <c r="B96" s="35"/>
      <c r="C96" s="35"/>
      <c r="D96" s="35"/>
      <c r="E96" s="57"/>
      <c r="F96" s="35"/>
      <c r="G96" s="35"/>
      <c r="H96" s="4"/>
      <c r="I96" s="35"/>
      <c r="J96" s="37"/>
      <c r="K96" s="35"/>
      <c r="L96" s="57"/>
      <c r="M96" s="35"/>
      <c r="N96" s="35"/>
      <c r="O96" s="35"/>
      <c r="P96" s="39">
        <f t="shared" si="1"/>
        <v>999999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37"/>
      <c r="B97" s="35"/>
      <c r="C97" s="35"/>
      <c r="D97" s="35"/>
      <c r="E97" s="57"/>
      <c r="F97" s="35"/>
      <c r="G97" s="35"/>
      <c r="H97" s="4"/>
      <c r="I97" s="35"/>
      <c r="J97" s="37"/>
      <c r="K97" s="35"/>
      <c r="L97" s="57"/>
      <c r="M97" s="35"/>
      <c r="N97" s="35"/>
      <c r="O97" s="35"/>
      <c r="P97" s="39">
        <f t="shared" si="1"/>
        <v>999999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37"/>
      <c r="B98" s="35"/>
      <c r="C98" s="35"/>
      <c r="D98" s="35"/>
      <c r="E98" s="57"/>
      <c r="F98" s="35"/>
      <c r="G98" s="35"/>
      <c r="H98" s="4"/>
      <c r="I98" s="35"/>
      <c r="J98" s="37"/>
      <c r="K98" s="35"/>
      <c r="L98" s="57"/>
      <c r="M98" s="35"/>
      <c r="N98" s="35"/>
      <c r="O98" s="35"/>
      <c r="P98" s="39">
        <f t="shared" si="1"/>
        <v>999999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37"/>
      <c r="B99" s="35"/>
      <c r="C99" s="35"/>
      <c r="D99" s="35"/>
      <c r="E99" s="57"/>
      <c r="F99" s="35"/>
      <c r="G99" s="35"/>
      <c r="H99" s="4"/>
      <c r="I99" s="35"/>
      <c r="J99" s="37"/>
      <c r="K99" s="35"/>
      <c r="L99" s="57"/>
      <c r="M99" s="35"/>
      <c r="N99" s="35"/>
      <c r="O99" s="35"/>
      <c r="P99" s="39">
        <f t="shared" si="1"/>
        <v>999999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37"/>
      <c r="B100" s="35"/>
      <c r="C100" s="35"/>
      <c r="D100" s="35"/>
      <c r="E100" s="57"/>
      <c r="F100" s="35"/>
      <c r="G100" s="35"/>
      <c r="H100" s="4"/>
      <c r="I100" s="35"/>
      <c r="J100" s="37"/>
      <c r="K100" s="35"/>
      <c r="L100" s="57"/>
      <c r="M100" s="35"/>
      <c r="N100" s="35"/>
      <c r="O100" s="35"/>
      <c r="P100" s="39">
        <f t="shared" si="1"/>
        <v>999999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37"/>
      <c r="B101" s="35"/>
      <c r="C101" s="35"/>
      <c r="D101" s="35"/>
      <c r="E101" s="57"/>
      <c r="F101" s="35"/>
      <c r="G101" s="35"/>
      <c r="H101" s="4"/>
      <c r="I101" s="35"/>
      <c r="J101" s="37"/>
      <c r="K101" s="35"/>
      <c r="L101" s="57"/>
      <c r="M101" s="35"/>
      <c r="N101" s="35"/>
      <c r="O101" s="35"/>
      <c r="P101" s="39">
        <f t="shared" si="1"/>
        <v>999999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37"/>
      <c r="B102" s="35"/>
      <c r="C102" s="35"/>
      <c r="D102" s="35"/>
      <c r="E102" s="57"/>
      <c r="F102" s="35"/>
      <c r="G102" s="35"/>
      <c r="H102" s="4"/>
      <c r="I102" s="35"/>
      <c r="J102" s="37"/>
      <c r="K102" s="35"/>
      <c r="L102" s="57"/>
      <c r="M102" s="35"/>
      <c r="N102" s="35"/>
      <c r="O102" s="35"/>
      <c r="P102" s="39">
        <f t="shared" si="1"/>
        <v>999999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37"/>
      <c r="B103" s="35"/>
      <c r="C103" s="35"/>
      <c r="D103" s="35"/>
      <c r="E103" s="57"/>
      <c r="F103" s="35"/>
      <c r="G103" s="35"/>
      <c r="H103" s="4"/>
      <c r="I103" s="35"/>
      <c r="J103" s="37"/>
      <c r="K103" s="35"/>
      <c r="L103" s="57"/>
      <c r="M103" s="35"/>
      <c r="N103" s="35"/>
      <c r="O103" s="35"/>
      <c r="P103" s="39">
        <f t="shared" si="1"/>
        <v>999999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37"/>
      <c r="B104" s="35"/>
      <c r="C104" s="35"/>
      <c r="D104" s="35"/>
      <c r="E104" s="57"/>
      <c r="F104" s="35"/>
      <c r="G104" s="35"/>
      <c r="H104" s="4"/>
      <c r="I104" s="35"/>
      <c r="J104" s="37"/>
      <c r="K104" s="35"/>
      <c r="L104" s="57"/>
      <c r="M104" s="35"/>
      <c r="N104" s="35"/>
      <c r="O104" s="35"/>
      <c r="P104" s="39">
        <f t="shared" si="1"/>
        <v>999999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37"/>
      <c r="B105" s="35"/>
      <c r="C105" s="35"/>
      <c r="D105" s="35"/>
      <c r="E105" s="57"/>
      <c r="F105" s="35"/>
      <c r="G105" s="35"/>
      <c r="H105" s="4"/>
      <c r="I105" s="35"/>
      <c r="J105" s="37"/>
      <c r="K105" s="35"/>
      <c r="L105" s="57"/>
      <c r="M105" s="35"/>
      <c r="N105" s="35"/>
      <c r="O105" s="35"/>
      <c r="P105" s="39">
        <f t="shared" si="1"/>
        <v>999999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37"/>
      <c r="B106" s="35"/>
      <c r="C106" s="35"/>
      <c r="D106" s="35"/>
      <c r="E106" s="57"/>
      <c r="F106" s="35"/>
      <c r="G106" s="35"/>
      <c r="H106" s="4"/>
      <c r="I106" s="35"/>
      <c r="J106" s="37"/>
      <c r="K106" s="35"/>
      <c r="L106" s="57"/>
      <c r="M106" s="35"/>
      <c r="N106" s="35"/>
      <c r="O106" s="35"/>
      <c r="P106" s="39">
        <f t="shared" si="1"/>
        <v>999999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37"/>
      <c r="B107" s="35"/>
      <c r="C107" s="35"/>
      <c r="D107" s="35"/>
      <c r="E107" s="57"/>
      <c r="F107" s="35"/>
      <c r="G107" s="35"/>
      <c r="H107" s="4"/>
      <c r="I107" s="35"/>
      <c r="J107" s="37"/>
      <c r="K107" s="35"/>
      <c r="L107" s="57"/>
      <c r="M107" s="35"/>
      <c r="N107" s="35"/>
      <c r="O107" s="35"/>
      <c r="P107" s="39">
        <f t="shared" si="1"/>
        <v>999999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37"/>
      <c r="B108" s="35"/>
      <c r="C108" s="35"/>
      <c r="D108" s="35"/>
      <c r="E108" s="57"/>
      <c r="F108" s="35"/>
      <c r="G108" s="35"/>
      <c r="H108" s="4"/>
      <c r="I108" s="35"/>
      <c r="J108" s="37"/>
      <c r="K108" s="35"/>
      <c r="L108" s="57"/>
      <c r="M108" s="35"/>
      <c r="N108" s="35"/>
      <c r="O108" s="35"/>
      <c r="P108" s="39">
        <f t="shared" si="1"/>
        <v>999999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37"/>
      <c r="B109" s="35"/>
      <c r="C109" s="35"/>
      <c r="D109" s="35"/>
      <c r="E109" s="57"/>
      <c r="F109" s="35"/>
      <c r="G109" s="35"/>
      <c r="H109" s="4"/>
      <c r="I109" s="35"/>
      <c r="J109" s="37"/>
      <c r="K109" s="35"/>
      <c r="L109" s="57"/>
      <c r="M109" s="35"/>
      <c r="N109" s="35"/>
      <c r="O109" s="35"/>
      <c r="P109" s="39">
        <f t="shared" si="1"/>
        <v>999999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37"/>
      <c r="B110" s="35"/>
      <c r="C110" s="35"/>
      <c r="D110" s="35"/>
      <c r="E110" s="57"/>
      <c r="F110" s="35"/>
      <c r="G110" s="35"/>
      <c r="H110" s="4"/>
      <c r="I110" s="35"/>
      <c r="J110" s="37"/>
      <c r="K110" s="35"/>
      <c r="L110" s="57"/>
      <c r="M110" s="35"/>
      <c r="N110" s="35"/>
      <c r="O110" s="35"/>
      <c r="P110" s="39">
        <f t="shared" si="1"/>
        <v>999999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37"/>
      <c r="B111" s="35"/>
      <c r="C111" s="35"/>
      <c r="D111" s="35"/>
      <c r="E111" s="57"/>
      <c r="F111" s="35"/>
      <c r="G111" s="35"/>
      <c r="H111" s="4"/>
      <c r="I111" s="35"/>
      <c r="J111" s="37"/>
      <c r="K111" s="35"/>
      <c r="L111" s="57"/>
      <c r="M111" s="35"/>
      <c r="N111" s="35"/>
      <c r="O111" s="35"/>
      <c r="P111" s="39">
        <f t="shared" si="1"/>
        <v>999999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37"/>
      <c r="B112" s="35"/>
      <c r="C112" s="35"/>
      <c r="D112" s="35"/>
      <c r="E112" s="57"/>
      <c r="F112" s="35"/>
      <c r="G112" s="35"/>
      <c r="H112" s="4"/>
      <c r="I112" s="35"/>
      <c r="J112" s="37"/>
      <c r="K112" s="35"/>
      <c r="L112" s="57"/>
      <c r="M112" s="35"/>
      <c r="N112" s="35"/>
      <c r="O112" s="35"/>
      <c r="P112" s="39">
        <f t="shared" si="1"/>
        <v>999999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37"/>
      <c r="B113" s="35"/>
      <c r="C113" s="35"/>
      <c r="D113" s="35"/>
      <c r="E113" s="57"/>
      <c r="F113" s="35"/>
      <c r="G113" s="35"/>
      <c r="H113" s="4"/>
      <c r="I113" s="35"/>
      <c r="J113" s="37"/>
      <c r="K113" s="35"/>
      <c r="L113" s="57"/>
      <c r="M113" s="35"/>
      <c r="N113" s="35"/>
      <c r="O113" s="35"/>
      <c r="P113" s="39">
        <f t="shared" si="1"/>
        <v>999999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37"/>
      <c r="B114" s="35"/>
      <c r="C114" s="35"/>
      <c r="D114" s="35"/>
      <c r="E114" s="57"/>
      <c r="F114" s="35"/>
      <c r="G114" s="35"/>
      <c r="H114" s="4"/>
      <c r="I114" s="35"/>
      <c r="J114" s="37"/>
      <c r="K114" s="35"/>
      <c r="L114" s="57"/>
      <c r="M114" s="35"/>
      <c r="N114" s="35"/>
      <c r="O114" s="35"/>
      <c r="P114" s="39">
        <f t="shared" si="1"/>
        <v>999999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37"/>
      <c r="B115" s="35"/>
      <c r="C115" s="35"/>
      <c r="D115" s="35"/>
      <c r="E115" s="57"/>
      <c r="F115" s="35"/>
      <c r="G115" s="35"/>
      <c r="H115" s="4"/>
      <c r="I115" s="35"/>
      <c r="J115" s="37"/>
      <c r="K115" s="35"/>
      <c r="L115" s="57"/>
      <c r="M115" s="35"/>
      <c r="N115" s="35"/>
      <c r="O115" s="35"/>
      <c r="P115" s="39">
        <f t="shared" si="1"/>
        <v>999999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37"/>
      <c r="B116" s="35"/>
      <c r="C116" s="35"/>
      <c r="D116" s="35"/>
      <c r="E116" s="57"/>
      <c r="F116" s="35"/>
      <c r="G116" s="35"/>
      <c r="H116" s="4"/>
      <c r="I116" s="35"/>
      <c r="J116" s="37"/>
      <c r="K116" s="35"/>
      <c r="L116" s="57"/>
      <c r="M116" s="35"/>
      <c r="N116" s="35"/>
      <c r="O116" s="35"/>
      <c r="P116" s="39">
        <f t="shared" si="1"/>
        <v>999999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37"/>
      <c r="B117" s="35"/>
      <c r="C117" s="35"/>
      <c r="D117" s="35"/>
      <c r="E117" s="57"/>
      <c r="F117" s="35"/>
      <c r="G117" s="35"/>
      <c r="H117" s="4"/>
      <c r="I117" s="35"/>
      <c r="J117" s="37"/>
      <c r="K117" s="35"/>
      <c r="L117" s="57"/>
      <c r="M117" s="35"/>
      <c r="N117" s="35"/>
      <c r="O117" s="35"/>
      <c r="P117" s="39">
        <f t="shared" si="1"/>
        <v>999999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37"/>
      <c r="B118" s="35"/>
      <c r="C118" s="35"/>
      <c r="D118" s="35"/>
      <c r="E118" s="57"/>
      <c r="F118" s="35"/>
      <c r="G118" s="35"/>
      <c r="H118" s="4"/>
      <c r="I118" s="35"/>
      <c r="J118" s="37"/>
      <c r="K118" s="35"/>
      <c r="L118" s="57"/>
      <c r="M118" s="35"/>
      <c r="N118" s="35"/>
      <c r="O118" s="35"/>
      <c r="P118" s="39">
        <f t="shared" si="1"/>
        <v>999999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37"/>
      <c r="B119" s="35"/>
      <c r="C119" s="35"/>
      <c r="D119" s="35"/>
      <c r="E119" s="57"/>
      <c r="F119" s="35"/>
      <c r="G119" s="35"/>
      <c r="H119" s="4"/>
      <c r="I119" s="35"/>
      <c r="J119" s="37"/>
      <c r="K119" s="35"/>
      <c r="L119" s="57"/>
      <c r="M119" s="35"/>
      <c r="N119" s="35"/>
      <c r="O119" s="35"/>
      <c r="P119" s="39">
        <f t="shared" si="1"/>
        <v>999999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37"/>
      <c r="B120" s="35"/>
      <c r="C120" s="35"/>
      <c r="D120" s="35"/>
      <c r="E120" s="57"/>
      <c r="F120" s="35"/>
      <c r="G120" s="35"/>
      <c r="H120" s="4"/>
      <c r="I120" s="35"/>
      <c r="J120" s="37"/>
      <c r="K120" s="35"/>
      <c r="L120" s="57"/>
      <c r="M120" s="35"/>
      <c r="N120" s="35"/>
      <c r="O120" s="35"/>
      <c r="P120" s="39">
        <f t="shared" si="1"/>
        <v>999999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37"/>
      <c r="B121" s="35"/>
      <c r="C121" s="35"/>
      <c r="D121" s="35"/>
      <c r="E121" s="57"/>
      <c r="F121" s="35"/>
      <c r="G121" s="35"/>
      <c r="H121" s="4"/>
      <c r="I121" s="35"/>
      <c r="J121" s="37"/>
      <c r="K121" s="35"/>
      <c r="L121" s="57"/>
      <c r="M121" s="35"/>
      <c r="N121" s="35"/>
      <c r="O121" s="35"/>
      <c r="P121" s="39">
        <f t="shared" si="1"/>
        <v>999999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37"/>
      <c r="B122" s="35"/>
      <c r="C122" s="35"/>
      <c r="D122" s="35"/>
      <c r="E122" s="57"/>
      <c r="F122" s="35"/>
      <c r="G122" s="35"/>
      <c r="H122" s="4"/>
      <c r="I122" s="35"/>
      <c r="J122" s="37"/>
      <c r="K122" s="35"/>
      <c r="L122" s="57"/>
      <c r="M122" s="35"/>
      <c r="N122" s="35"/>
      <c r="O122" s="35"/>
      <c r="P122" s="39">
        <f t="shared" si="1"/>
        <v>999999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37"/>
      <c r="B123" s="35"/>
      <c r="C123" s="35"/>
      <c r="D123" s="35"/>
      <c r="E123" s="57"/>
      <c r="F123" s="35"/>
      <c r="G123" s="35"/>
      <c r="H123" s="4"/>
      <c r="I123" s="35"/>
      <c r="J123" s="37"/>
      <c r="K123" s="35"/>
      <c r="L123" s="57"/>
      <c r="M123" s="35"/>
      <c r="N123" s="35"/>
      <c r="O123" s="35"/>
      <c r="P123" s="39">
        <f t="shared" si="1"/>
        <v>999999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37"/>
      <c r="B124" s="35"/>
      <c r="C124" s="35"/>
      <c r="D124" s="35"/>
      <c r="E124" s="57"/>
      <c r="F124" s="35"/>
      <c r="G124" s="35"/>
      <c r="H124" s="4"/>
      <c r="I124" s="35"/>
      <c r="J124" s="37"/>
      <c r="K124" s="35"/>
      <c r="L124" s="57"/>
      <c r="M124" s="35"/>
      <c r="N124" s="35"/>
      <c r="O124" s="35"/>
      <c r="P124" s="39">
        <f t="shared" si="1"/>
        <v>999999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37"/>
      <c r="B125" s="35"/>
      <c r="C125" s="35"/>
      <c r="D125" s="35"/>
      <c r="E125" s="57"/>
      <c r="F125" s="35"/>
      <c r="G125" s="35"/>
      <c r="H125" s="4"/>
      <c r="I125" s="35"/>
      <c r="J125" s="37"/>
      <c r="K125" s="35"/>
      <c r="L125" s="57"/>
      <c r="M125" s="35"/>
      <c r="N125" s="35"/>
      <c r="O125" s="35"/>
      <c r="P125" s="39">
        <f t="shared" si="1"/>
        <v>999999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37"/>
      <c r="B126" s="35"/>
      <c r="C126" s="35"/>
      <c r="D126" s="35"/>
      <c r="E126" s="57"/>
      <c r="F126" s="35"/>
      <c r="G126" s="35"/>
      <c r="H126" s="4"/>
      <c r="I126" s="35"/>
      <c r="J126" s="37"/>
      <c r="K126" s="35"/>
      <c r="L126" s="57"/>
      <c r="M126" s="35"/>
      <c r="N126" s="35"/>
      <c r="O126" s="35"/>
      <c r="P126" s="39">
        <f t="shared" si="1"/>
        <v>999999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37"/>
      <c r="B127" s="35"/>
      <c r="C127" s="35"/>
      <c r="D127" s="35"/>
      <c r="E127" s="57"/>
      <c r="F127" s="35"/>
      <c r="G127" s="35"/>
      <c r="H127" s="4"/>
      <c r="I127" s="35"/>
      <c r="J127" s="37"/>
      <c r="K127" s="35"/>
      <c r="L127" s="57"/>
      <c r="M127" s="35"/>
      <c r="N127" s="35"/>
      <c r="O127" s="35"/>
      <c r="P127" s="39">
        <f t="shared" si="1"/>
        <v>999999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37"/>
      <c r="B128" s="35"/>
      <c r="C128" s="35"/>
      <c r="D128" s="35"/>
      <c r="E128" s="57"/>
      <c r="F128" s="35"/>
      <c r="G128" s="35"/>
      <c r="H128" s="4"/>
      <c r="I128" s="35"/>
      <c r="J128" s="37"/>
      <c r="K128" s="35"/>
      <c r="L128" s="57"/>
      <c r="M128" s="35"/>
      <c r="N128" s="35"/>
      <c r="O128" s="35"/>
      <c r="P128" s="39">
        <f t="shared" si="1"/>
        <v>999999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37"/>
      <c r="B129" s="35"/>
      <c r="C129" s="35"/>
      <c r="D129" s="35"/>
      <c r="E129" s="57"/>
      <c r="F129" s="35"/>
      <c r="G129" s="35"/>
      <c r="H129" s="4"/>
      <c r="I129" s="35"/>
      <c r="J129" s="37"/>
      <c r="K129" s="35"/>
      <c r="L129" s="57"/>
      <c r="M129" s="35"/>
      <c r="N129" s="35"/>
      <c r="O129" s="35"/>
      <c r="P129" s="39">
        <f t="shared" si="1"/>
        <v>999999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37"/>
      <c r="B130" s="35"/>
      <c r="C130" s="35"/>
      <c r="D130" s="35"/>
      <c r="E130" s="57"/>
      <c r="F130" s="35"/>
      <c r="G130" s="35"/>
      <c r="H130" s="4"/>
      <c r="I130" s="35"/>
      <c r="J130" s="37"/>
      <c r="K130" s="35"/>
      <c r="L130" s="57"/>
      <c r="M130" s="35"/>
      <c r="N130" s="35"/>
      <c r="O130" s="35"/>
      <c r="P130" s="39">
        <f t="shared" si="1"/>
        <v>999999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37"/>
      <c r="B131" s="35"/>
      <c r="C131" s="35"/>
      <c r="D131" s="35"/>
      <c r="E131" s="57"/>
      <c r="F131" s="35"/>
      <c r="G131" s="35"/>
      <c r="H131" s="4"/>
      <c r="I131" s="35"/>
      <c r="J131" s="37"/>
      <c r="K131" s="35"/>
      <c r="L131" s="57"/>
      <c r="M131" s="35"/>
      <c r="N131" s="35"/>
      <c r="O131" s="35"/>
      <c r="P131" s="39">
        <f t="shared" si="1"/>
        <v>999999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37"/>
      <c r="B132" s="35"/>
      <c r="C132" s="35"/>
      <c r="D132" s="35"/>
      <c r="E132" s="57"/>
      <c r="F132" s="35"/>
      <c r="G132" s="35"/>
      <c r="H132" s="4"/>
      <c r="I132" s="35"/>
      <c r="J132" s="37"/>
      <c r="K132" s="35"/>
      <c r="L132" s="57"/>
      <c r="M132" s="35"/>
      <c r="N132" s="35"/>
      <c r="O132" s="35"/>
      <c r="P132" s="39">
        <f t="shared" si="1"/>
        <v>999999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37"/>
      <c r="B133" s="35"/>
      <c r="C133" s="35"/>
      <c r="D133" s="35"/>
      <c r="E133" s="57"/>
      <c r="F133" s="35"/>
      <c r="G133" s="35"/>
      <c r="H133" s="4"/>
      <c r="I133" s="35"/>
      <c r="J133" s="37"/>
      <c r="K133" s="35"/>
      <c r="L133" s="57"/>
      <c r="M133" s="35"/>
      <c r="N133" s="35"/>
      <c r="O133" s="35"/>
      <c r="P133" s="39">
        <f t="shared" si="1"/>
        <v>999999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37"/>
      <c r="B134" s="35"/>
      <c r="C134" s="35"/>
      <c r="D134" s="35"/>
      <c r="E134" s="57"/>
      <c r="F134" s="35"/>
      <c r="G134" s="35"/>
      <c r="H134" s="4"/>
      <c r="I134" s="35"/>
      <c r="J134" s="37"/>
      <c r="K134" s="35"/>
      <c r="L134" s="57"/>
      <c r="M134" s="35"/>
      <c r="N134" s="35"/>
      <c r="O134" s="35"/>
      <c r="P134" s="39">
        <f t="shared" si="1"/>
        <v>999999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37"/>
      <c r="B135" s="35"/>
      <c r="C135" s="35"/>
      <c r="D135" s="35"/>
      <c r="E135" s="57"/>
      <c r="F135" s="35"/>
      <c r="G135" s="35"/>
      <c r="H135" s="4"/>
      <c r="I135" s="35"/>
      <c r="J135" s="37"/>
      <c r="K135" s="35"/>
      <c r="L135" s="57"/>
      <c r="M135" s="35"/>
      <c r="N135" s="35"/>
      <c r="O135" s="35"/>
      <c r="P135" s="39">
        <f t="shared" si="1"/>
        <v>999999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37"/>
      <c r="B136" s="35"/>
      <c r="C136" s="35"/>
      <c r="D136" s="35"/>
      <c r="E136" s="57"/>
      <c r="F136" s="35"/>
      <c r="G136" s="35"/>
      <c r="H136" s="4"/>
      <c r="I136" s="35"/>
      <c r="J136" s="37"/>
      <c r="K136" s="35"/>
      <c r="L136" s="57"/>
      <c r="M136" s="35"/>
      <c r="N136" s="35"/>
      <c r="O136" s="35"/>
      <c r="P136" s="39">
        <f t="shared" si="1"/>
        <v>999999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37"/>
      <c r="B137" s="35"/>
      <c r="C137" s="35"/>
      <c r="D137" s="35"/>
      <c r="E137" s="57"/>
      <c r="F137" s="35"/>
      <c r="G137" s="35"/>
      <c r="H137" s="4"/>
      <c r="I137" s="35"/>
      <c r="J137" s="37"/>
      <c r="K137" s="35"/>
      <c r="L137" s="57"/>
      <c r="M137" s="35"/>
      <c r="N137" s="35"/>
      <c r="O137" s="35"/>
      <c r="P137" s="39">
        <f t="shared" si="1"/>
        <v>999999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37"/>
      <c r="B138" s="35"/>
      <c r="C138" s="35"/>
      <c r="D138" s="35"/>
      <c r="E138" s="57"/>
      <c r="F138" s="35"/>
      <c r="G138" s="35"/>
      <c r="H138" s="4"/>
      <c r="I138" s="35"/>
      <c r="J138" s="37"/>
      <c r="K138" s="35"/>
      <c r="L138" s="57"/>
      <c r="M138" s="35"/>
      <c r="N138" s="35"/>
      <c r="O138" s="35"/>
      <c r="P138" s="39">
        <f t="shared" si="1"/>
        <v>999999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37"/>
      <c r="B139" s="35"/>
      <c r="C139" s="35"/>
      <c r="D139" s="35"/>
      <c r="E139" s="57"/>
      <c r="F139" s="35"/>
      <c r="G139" s="35"/>
      <c r="H139" s="4"/>
      <c r="I139" s="35"/>
      <c r="J139" s="37"/>
      <c r="K139" s="35"/>
      <c r="L139" s="57"/>
      <c r="M139" s="35"/>
      <c r="N139" s="35"/>
      <c r="O139" s="35"/>
      <c r="P139" s="39">
        <f t="shared" si="1"/>
        <v>999999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37"/>
      <c r="B140" s="35"/>
      <c r="C140" s="35"/>
      <c r="D140" s="35"/>
      <c r="E140" s="57"/>
      <c r="F140" s="35"/>
      <c r="G140" s="35"/>
      <c r="H140" s="4"/>
      <c r="I140" s="35"/>
      <c r="J140" s="37"/>
      <c r="K140" s="35"/>
      <c r="L140" s="57"/>
      <c r="M140" s="35"/>
      <c r="N140" s="35"/>
      <c r="O140" s="35"/>
      <c r="P140" s="39">
        <f t="shared" si="1"/>
        <v>999999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37"/>
      <c r="B141" s="35"/>
      <c r="C141" s="35"/>
      <c r="D141" s="35"/>
      <c r="E141" s="57"/>
      <c r="F141" s="35"/>
      <c r="G141" s="35"/>
      <c r="H141" s="4"/>
      <c r="I141" s="35"/>
      <c r="J141" s="37"/>
      <c r="K141" s="35"/>
      <c r="L141" s="57"/>
      <c r="M141" s="35"/>
      <c r="N141" s="35"/>
      <c r="O141" s="35"/>
      <c r="P141" s="39">
        <f t="shared" si="1"/>
        <v>999999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37"/>
      <c r="B142" s="35"/>
      <c r="C142" s="35"/>
      <c r="D142" s="35"/>
      <c r="E142" s="57"/>
      <c r="F142" s="35"/>
      <c r="G142" s="35"/>
      <c r="H142" s="4"/>
      <c r="I142" s="35"/>
      <c r="J142" s="37"/>
      <c r="K142" s="35"/>
      <c r="L142" s="57"/>
      <c r="M142" s="35"/>
      <c r="N142" s="35"/>
      <c r="O142" s="35"/>
      <c r="P142" s="39">
        <f t="shared" si="1"/>
        <v>999999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37"/>
      <c r="B143" s="35"/>
      <c r="C143" s="35"/>
      <c r="D143" s="35"/>
      <c r="E143" s="57"/>
      <c r="F143" s="35"/>
      <c r="G143" s="35"/>
      <c r="H143" s="4"/>
      <c r="I143" s="35"/>
      <c r="J143" s="37"/>
      <c r="K143" s="35"/>
      <c r="L143" s="57"/>
      <c r="M143" s="35"/>
      <c r="N143" s="35"/>
      <c r="O143" s="35"/>
      <c r="P143" s="39">
        <f t="shared" si="1"/>
        <v>999999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37"/>
      <c r="B144" s="35"/>
      <c r="C144" s="35"/>
      <c r="D144" s="35"/>
      <c r="E144" s="57"/>
      <c r="F144" s="35"/>
      <c r="G144" s="35"/>
      <c r="H144" s="4"/>
      <c r="I144" s="35"/>
      <c r="J144" s="37"/>
      <c r="K144" s="35"/>
      <c r="L144" s="57"/>
      <c r="M144" s="35"/>
      <c r="N144" s="35"/>
      <c r="O144" s="35"/>
      <c r="P144" s="39">
        <f t="shared" si="1"/>
        <v>999999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37"/>
      <c r="B145" s="35"/>
      <c r="C145" s="35"/>
      <c r="D145" s="35"/>
      <c r="E145" s="57"/>
      <c r="F145" s="35"/>
      <c r="G145" s="35"/>
      <c r="H145" s="4"/>
      <c r="I145" s="35"/>
      <c r="J145" s="37"/>
      <c r="K145" s="35"/>
      <c r="L145" s="57"/>
      <c r="M145" s="35"/>
      <c r="N145" s="35"/>
      <c r="O145" s="35"/>
      <c r="P145" s="39">
        <f t="shared" si="1"/>
        <v>999999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37"/>
      <c r="B146" s="35"/>
      <c r="C146" s="35"/>
      <c r="D146" s="35"/>
      <c r="E146" s="57"/>
      <c r="F146" s="35"/>
      <c r="G146" s="35"/>
      <c r="H146" s="4"/>
      <c r="I146" s="35"/>
      <c r="J146" s="37"/>
      <c r="K146" s="35"/>
      <c r="L146" s="57"/>
      <c r="M146" s="35"/>
      <c r="N146" s="35"/>
      <c r="O146" s="35"/>
      <c r="P146" s="39">
        <f t="shared" si="1"/>
        <v>999999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37"/>
      <c r="B147" s="35"/>
      <c r="C147" s="35"/>
      <c r="D147" s="35"/>
      <c r="E147" s="57"/>
      <c r="F147" s="35"/>
      <c r="G147" s="35"/>
      <c r="H147" s="4"/>
      <c r="I147" s="35"/>
      <c r="J147" s="37"/>
      <c r="K147" s="35"/>
      <c r="L147" s="57"/>
      <c r="M147" s="35"/>
      <c r="N147" s="35"/>
      <c r="O147" s="35"/>
      <c r="P147" s="39">
        <f t="shared" si="1"/>
        <v>999999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37"/>
      <c r="B148" s="35"/>
      <c r="C148" s="35"/>
      <c r="D148" s="35"/>
      <c r="E148" s="57"/>
      <c r="F148" s="35"/>
      <c r="G148" s="35"/>
      <c r="H148" s="4"/>
      <c r="I148" s="35"/>
      <c r="J148" s="37"/>
      <c r="K148" s="35"/>
      <c r="L148" s="57"/>
      <c r="M148" s="35"/>
      <c r="N148" s="35"/>
      <c r="O148" s="35"/>
      <c r="P148" s="39">
        <f t="shared" si="1"/>
        <v>999999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37"/>
      <c r="B149" s="35"/>
      <c r="C149" s="35"/>
      <c r="D149" s="35"/>
      <c r="E149" s="57"/>
      <c r="F149" s="35"/>
      <c r="G149" s="35"/>
      <c r="H149" s="4"/>
      <c r="I149" s="35"/>
      <c r="J149" s="37"/>
      <c r="K149" s="35"/>
      <c r="L149" s="57"/>
      <c r="M149" s="35"/>
      <c r="N149" s="35"/>
      <c r="O149" s="35"/>
      <c r="P149" s="39">
        <f t="shared" si="1"/>
        <v>999999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37"/>
      <c r="B150" s="35"/>
      <c r="C150" s="35"/>
      <c r="D150" s="35"/>
      <c r="E150" s="57"/>
      <c r="F150" s="35"/>
      <c r="G150" s="35"/>
      <c r="H150" s="4"/>
      <c r="I150" s="35"/>
      <c r="J150" s="37"/>
      <c r="K150" s="35"/>
      <c r="L150" s="57"/>
      <c r="M150" s="35"/>
      <c r="N150" s="35"/>
      <c r="O150" s="35"/>
      <c r="P150" s="39">
        <f t="shared" si="1"/>
        <v>999999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37"/>
      <c r="B151" s="35"/>
      <c r="C151" s="35"/>
      <c r="D151" s="35"/>
      <c r="E151" s="57"/>
      <c r="F151" s="35"/>
      <c r="G151" s="35"/>
      <c r="H151" s="4"/>
      <c r="I151" s="35"/>
      <c r="J151" s="37"/>
      <c r="K151" s="35"/>
      <c r="L151" s="57"/>
      <c r="M151" s="35"/>
      <c r="N151" s="35"/>
      <c r="O151" s="35"/>
      <c r="P151" s="39">
        <f t="shared" si="1"/>
        <v>999999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37"/>
      <c r="B152" s="35"/>
      <c r="C152" s="35"/>
      <c r="D152" s="35"/>
      <c r="E152" s="57"/>
      <c r="F152" s="35"/>
      <c r="G152" s="35"/>
      <c r="H152" s="4"/>
      <c r="I152" s="35"/>
      <c r="J152" s="37"/>
      <c r="K152" s="35"/>
      <c r="L152" s="57"/>
      <c r="M152" s="35"/>
      <c r="N152" s="35"/>
      <c r="O152" s="35"/>
      <c r="P152" s="39">
        <f t="shared" si="1"/>
        <v>999999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37"/>
      <c r="B153" s="35"/>
      <c r="C153" s="35"/>
      <c r="D153" s="35"/>
      <c r="E153" s="57"/>
      <c r="F153" s="35"/>
      <c r="G153" s="35"/>
      <c r="H153" s="4"/>
      <c r="I153" s="35"/>
      <c r="J153" s="37"/>
      <c r="K153" s="35"/>
      <c r="L153" s="57"/>
      <c r="M153" s="35"/>
      <c r="N153" s="35"/>
      <c r="O153" s="35"/>
      <c r="P153" s="39">
        <f t="shared" si="1"/>
        <v>999999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37"/>
      <c r="B154" s="35"/>
      <c r="C154" s="35"/>
      <c r="D154" s="35"/>
      <c r="E154" s="57"/>
      <c r="F154" s="35"/>
      <c r="G154" s="35"/>
      <c r="H154" s="4"/>
      <c r="I154" s="35"/>
      <c r="J154" s="37"/>
      <c r="K154" s="35"/>
      <c r="L154" s="57"/>
      <c r="M154" s="35"/>
      <c r="N154" s="35"/>
      <c r="O154" s="35"/>
      <c r="P154" s="39">
        <f t="shared" si="1"/>
        <v>999999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37"/>
      <c r="B155" s="35"/>
      <c r="C155" s="35"/>
      <c r="D155" s="35"/>
      <c r="E155" s="57"/>
      <c r="F155" s="35"/>
      <c r="G155" s="35"/>
      <c r="H155" s="4"/>
      <c r="I155" s="35"/>
      <c r="J155" s="37"/>
      <c r="K155" s="35"/>
      <c r="L155" s="57"/>
      <c r="M155" s="35"/>
      <c r="N155" s="35"/>
      <c r="O155" s="35"/>
      <c r="P155" s="39">
        <f t="shared" si="1"/>
        <v>999999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37"/>
      <c r="B156" s="35"/>
      <c r="C156" s="35"/>
      <c r="D156" s="35"/>
      <c r="E156" s="57"/>
      <c r="F156" s="35"/>
      <c r="G156" s="35"/>
      <c r="H156" s="4"/>
      <c r="I156" s="35"/>
      <c r="J156" s="37"/>
      <c r="K156" s="35"/>
      <c r="L156" s="57"/>
      <c r="M156" s="35"/>
      <c r="N156" s="35"/>
      <c r="O156" s="35"/>
      <c r="P156" s="39">
        <f t="shared" si="1"/>
        <v>999999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37"/>
      <c r="B157" s="35"/>
      <c r="C157" s="35"/>
      <c r="D157" s="35"/>
      <c r="E157" s="57"/>
      <c r="F157" s="35"/>
      <c r="G157" s="35"/>
      <c r="H157" s="4"/>
      <c r="I157" s="35"/>
      <c r="J157" s="37"/>
      <c r="K157" s="35"/>
      <c r="L157" s="57"/>
      <c r="M157" s="35"/>
      <c r="N157" s="35"/>
      <c r="O157" s="35"/>
      <c r="P157" s="39">
        <f t="shared" si="1"/>
        <v>999999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37"/>
      <c r="B158" s="35"/>
      <c r="C158" s="35"/>
      <c r="D158" s="35"/>
      <c r="E158" s="57"/>
      <c r="F158" s="35"/>
      <c r="G158" s="35"/>
      <c r="H158" s="4"/>
      <c r="I158" s="35"/>
      <c r="J158" s="37"/>
      <c r="K158" s="35"/>
      <c r="L158" s="57"/>
      <c r="M158" s="35"/>
      <c r="N158" s="35"/>
      <c r="O158" s="35"/>
      <c r="P158" s="39">
        <f t="shared" si="1"/>
        <v>999999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37"/>
      <c r="B159" s="35"/>
      <c r="C159" s="35"/>
      <c r="D159" s="35"/>
      <c r="E159" s="57"/>
      <c r="F159" s="35"/>
      <c r="G159" s="35"/>
      <c r="H159" s="4"/>
      <c r="I159" s="35"/>
      <c r="J159" s="37"/>
      <c r="K159" s="35"/>
      <c r="L159" s="57"/>
      <c r="M159" s="35"/>
      <c r="N159" s="35"/>
      <c r="O159" s="35"/>
      <c r="P159" s="39">
        <f t="shared" si="1"/>
        <v>999999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37"/>
      <c r="B160" s="35"/>
      <c r="C160" s="35"/>
      <c r="D160" s="35"/>
      <c r="E160" s="57"/>
      <c r="F160" s="35"/>
      <c r="G160" s="35"/>
      <c r="H160" s="4"/>
      <c r="I160" s="35"/>
      <c r="J160" s="37"/>
      <c r="K160" s="35"/>
      <c r="L160" s="57"/>
      <c r="M160" s="35"/>
      <c r="N160" s="35"/>
      <c r="O160" s="35"/>
      <c r="P160" s="39">
        <f t="shared" si="1"/>
        <v>999999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37"/>
      <c r="B161" s="35"/>
      <c r="C161" s="35"/>
      <c r="D161" s="35"/>
      <c r="E161" s="57"/>
      <c r="F161" s="35"/>
      <c r="G161" s="35"/>
      <c r="H161" s="4"/>
      <c r="I161" s="35"/>
      <c r="J161" s="37"/>
      <c r="K161" s="35"/>
      <c r="L161" s="57"/>
      <c r="M161" s="35"/>
      <c r="N161" s="35"/>
      <c r="O161" s="35"/>
      <c r="P161" s="39">
        <f t="shared" si="1"/>
        <v>999999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37"/>
      <c r="B162" s="35"/>
      <c r="C162" s="35"/>
      <c r="D162" s="35"/>
      <c r="E162" s="57"/>
      <c r="F162" s="35"/>
      <c r="G162" s="35"/>
      <c r="H162" s="4"/>
      <c r="I162" s="35"/>
      <c r="J162" s="37"/>
      <c r="K162" s="35"/>
      <c r="L162" s="57"/>
      <c r="M162" s="35"/>
      <c r="N162" s="35"/>
      <c r="O162" s="35"/>
      <c r="P162" s="39">
        <f t="shared" si="1"/>
        <v>999999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37"/>
      <c r="B163" s="35"/>
      <c r="C163" s="35"/>
      <c r="D163" s="35"/>
      <c r="E163" s="57"/>
      <c r="F163" s="35"/>
      <c r="G163" s="35"/>
      <c r="H163" s="4"/>
      <c r="I163" s="35"/>
      <c r="J163" s="37"/>
      <c r="K163" s="35"/>
      <c r="L163" s="57"/>
      <c r="M163" s="35"/>
      <c r="N163" s="35"/>
      <c r="O163" s="35"/>
      <c r="P163" s="39">
        <f t="shared" si="1"/>
        <v>999999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37"/>
      <c r="B164" s="35"/>
      <c r="C164" s="35"/>
      <c r="D164" s="35"/>
      <c r="E164" s="57"/>
      <c r="F164" s="35"/>
      <c r="G164" s="35"/>
      <c r="H164" s="4"/>
      <c r="I164" s="35"/>
      <c r="J164" s="37"/>
      <c r="K164" s="35"/>
      <c r="L164" s="57"/>
      <c r="M164" s="35"/>
      <c r="N164" s="35"/>
      <c r="O164" s="35"/>
      <c r="P164" s="39">
        <f t="shared" si="1"/>
        <v>999999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37"/>
      <c r="B165" s="35"/>
      <c r="C165" s="35"/>
      <c r="D165" s="35"/>
      <c r="E165" s="57"/>
      <c r="F165" s="35"/>
      <c r="G165" s="35"/>
      <c r="H165" s="4"/>
      <c r="I165" s="35"/>
      <c r="J165" s="37"/>
      <c r="K165" s="35"/>
      <c r="L165" s="57"/>
      <c r="M165" s="35"/>
      <c r="N165" s="35"/>
      <c r="O165" s="35"/>
      <c r="P165" s="39">
        <f t="shared" si="1"/>
        <v>999999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37"/>
      <c r="B166" s="35"/>
      <c r="C166" s="35"/>
      <c r="D166" s="35"/>
      <c r="E166" s="57"/>
      <c r="F166" s="35"/>
      <c r="G166" s="35"/>
      <c r="H166" s="4"/>
      <c r="I166" s="35"/>
      <c r="J166" s="37"/>
      <c r="K166" s="35"/>
      <c r="L166" s="57"/>
      <c r="M166" s="35"/>
      <c r="N166" s="35"/>
      <c r="O166" s="35"/>
      <c r="P166" s="39">
        <f t="shared" si="1"/>
        <v>999999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37"/>
      <c r="B167" s="35"/>
      <c r="C167" s="35"/>
      <c r="D167" s="35"/>
      <c r="E167" s="57"/>
      <c r="F167" s="35"/>
      <c r="G167" s="35"/>
      <c r="H167" s="4"/>
      <c r="I167" s="35"/>
      <c r="J167" s="37"/>
      <c r="K167" s="35"/>
      <c r="L167" s="57"/>
      <c r="M167" s="35"/>
      <c r="N167" s="35"/>
      <c r="O167" s="35"/>
      <c r="P167" s="39">
        <f t="shared" si="1"/>
        <v>999999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37"/>
      <c r="B168" s="35"/>
      <c r="C168" s="35"/>
      <c r="D168" s="35"/>
      <c r="E168" s="57"/>
      <c r="F168" s="35"/>
      <c r="G168" s="35"/>
      <c r="H168" s="4"/>
      <c r="I168" s="35"/>
      <c r="J168" s="37"/>
      <c r="K168" s="35"/>
      <c r="L168" s="57"/>
      <c r="M168" s="35"/>
      <c r="N168" s="35"/>
      <c r="O168" s="35"/>
      <c r="P168" s="39">
        <f t="shared" si="1"/>
        <v>999999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37"/>
      <c r="B169" s="35"/>
      <c r="C169" s="35"/>
      <c r="D169" s="35"/>
      <c r="E169" s="57"/>
      <c r="F169" s="35"/>
      <c r="G169" s="35"/>
      <c r="H169" s="4"/>
      <c r="I169" s="35"/>
      <c r="J169" s="37"/>
      <c r="K169" s="35"/>
      <c r="L169" s="57"/>
      <c r="M169" s="35"/>
      <c r="N169" s="35"/>
      <c r="O169" s="35"/>
      <c r="P169" s="39">
        <f t="shared" si="1"/>
        <v>999999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37"/>
      <c r="B170" s="35"/>
      <c r="C170" s="35"/>
      <c r="D170" s="35"/>
      <c r="E170" s="57"/>
      <c r="F170" s="35"/>
      <c r="G170" s="35"/>
      <c r="H170" s="4"/>
      <c r="I170" s="35"/>
      <c r="J170" s="37"/>
      <c r="K170" s="35"/>
      <c r="L170" s="57"/>
      <c r="M170" s="35"/>
      <c r="N170" s="35"/>
      <c r="O170" s="35"/>
      <c r="P170" s="39">
        <f t="shared" si="1"/>
        <v>999999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37"/>
      <c r="B171" s="35"/>
      <c r="C171" s="35"/>
      <c r="D171" s="35"/>
      <c r="E171" s="57"/>
      <c r="F171" s="35"/>
      <c r="G171" s="35"/>
      <c r="H171" s="4"/>
      <c r="I171" s="35"/>
      <c r="J171" s="37"/>
      <c r="K171" s="35"/>
      <c r="L171" s="57"/>
      <c r="M171" s="35"/>
      <c r="N171" s="35"/>
      <c r="O171" s="35"/>
      <c r="P171" s="39">
        <f t="shared" si="1"/>
        <v>999999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37"/>
      <c r="B172" s="35"/>
      <c r="C172" s="35"/>
      <c r="D172" s="35"/>
      <c r="E172" s="57"/>
      <c r="F172" s="35"/>
      <c r="G172" s="35"/>
      <c r="H172" s="4"/>
      <c r="I172" s="35"/>
      <c r="J172" s="37"/>
      <c r="K172" s="35"/>
      <c r="L172" s="57"/>
      <c r="M172" s="35"/>
      <c r="N172" s="35"/>
      <c r="O172" s="35"/>
      <c r="P172" s="39">
        <f t="shared" si="1"/>
        <v>999999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37"/>
      <c r="B173" s="35"/>
      <c r="C173" s="35"/>
      <c r="D173" s="35"/>
      <c r="E173" s="57"/>
      <c r="F173" s="35"/>
      <c r="G173" s="35"/>
      <c r="H173" s="4"/>
      <c r="I173" s="35"/>
      <c r="J173" s="37"/>
      <c r="K173" s="35"/>
      <c r="L173" s="57"/>
      <c r="M173" s="35"/>
      <c r="N173" s="35"/>
      <c r="O173" s="35"/>
      <c r="P173" s="39">
        <f t="shared" si="1"/>
        <v>999999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37"/>
      <c r="B174" s="35"/>
      <c r="C174" s="35"/>
      <c r="D174" s="35"/>
      <c r="E174" s="57"/>
      <c r="F174" s="35"/>
      <c r="G174" s="35"/>
      <c r="H174" s="4"/>
      <c r="I174" s="35"/>
      <c r="J174" s="37"/>
      <c r="K174" s="35"/>
      <c r="L174" s="57"/>
      <c r="M174" s="35"/>
      <c r="N174" s="35"/>
      <c r="O174" s="35"/>
      <c r="P174" s="39">
        <f t="shared" si="1"/>
        <v>999999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37"/>
      <c r="B175" s="35"/>
      <c r="C175" s="35"/>
      <c r="D175" s="35"/>
      <c r="E175" s="57"/>
      <c r="F175" s="35"/>
      <c r="G175" s="35"/>
      <c r="H175" s="4"/>
      <c r="I175" s="35"/>
      <c r="J175" s="37"/>
      <c r="K175" s="35"/>
      <c r="L175" s="57"/>
      <c r="M175" s="35"/>
      <c r="N175" s="35"/>
      <c r="O175" s="35"/>
      <c r="P175" s="39">
        <f t="shared" si="1"/>
        <v>999999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37"/>
      <c r="B176" s="35"/>
      <c r="C176" s="35"/>
      <c r="D176" s="35"/>
      <c r="E176" s="57"/>
      <c r="F176" s="35"/>
      <c r="G176" s="35"/>
      <c r="H176" s="4"/>
      <c r="I176" s="35"/>
      <c r="J176" s="37"/>
      <c r="K176" s="35"/>
      <c r="L176" s="57"/>
      <c r="M176" s="35"/>
      <c r="N176" s="35"/>
      <c r="O176" s="35"/>
      <c r="P176" s="39">
        <f t="shared" si="1"/>
        <v>999999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37"/>
      <c r="B177" s="35"/>
      <c r="C177" s="35"/>
      <c r="D177" s="35"/>
      <c r="E177" s="57"/>
      <c r="F177" s="35"/>
      <c r="G177" s="35"/>
      <c r="H177" s="4"/>
      <c r="I177" s="35"/>
      <c r="J177" s="37"/>
      <c r="K177" s="35"/>
      <c r="L177" s="57"/>
      <c r="M177" s="35"/>
      <c r="N177" s="35"/>
      <c r="O177" s="35"/>
      <c r="P177" s="39">
        <f t="shared" si="1"/>
        <v>999999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37"/>
      <c r="B178" s="35"/>
      <c r="C178" s="35"/>
      <c r="D178" s="35"/>
      <c r="E178" s="57"/>
      <c r="F178" s="35"/>
      <c r="G178" s="35"/>
      <c r="H178" s="4"/>
      <c r="I178" s="35"/>
      <c r="J178" s="37"/>
      <c r="K178" s="35"/>
      <c r="L178" s="57"/>
      <c r="M178" s="35"/>
      <c r="N178" s="35"/>
      <c r="O178" s="35"/>
      <c r="P178" s="39">
        <f t="shared" si="1"/>
        <v>999999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37"/>
      <c r="B179" s="35"/>
      <c r="C179" s="35"/>
      <c r="D179" s="35"/>
      <c r="E179" s="57"/>
      <c r="F179" s="35"/>
      <c r="G179" s="35"/>
      <c r="H179" s="4"/>
      <c r="I179" s="35"/>
      <c r="J179" s="37"/>
      <c r="K179" s="35"/>
      <c r="L179" s="57"/>
      <c r="M179" s="35"/>
      <c r="N179" s="35"/>
      <c r="O179" s="35"/>
      <c r="P179" s="39">
        <f t="shared" si="1"/>
        <v>999999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37"/>
      <c r="B180" s="35"/>
      <c r="C180" s="35"/>
      <c r="D180" s="35"/>
      <c r="E180" s="57"/>
      <c r="F180" s="35"/>
      <c r="G180" s="35"/>
      <c r="H180" s="4"/>
      <c r="I180" s="35"/>
      <c r="J180" s="37"/>
      <c r="K180" s="35"/>
      <c r="L180" s="57"/>
      <c r="M180" s="35"/>
      <c r="N180" s="35"/>
      <c r="O180" s="35"/>
      <c r="P180" s="39">
        <f t="shared" si="1"/>
        <v>999999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37"/>
      <c r="B181" s="35"/>
      <c r="C181" s="35"/>
      <c r="D181" s="35"/>
      <c r="E181" s="57"/>
      <c r="F181" s="35"/>
      <c r="G181" s="35"/>
      <c r="H181" s="4"/>
      <c r="I181" s="35"/>
      <c r="J181" s="37"/>
      <c r="K181" s="35"/>
      <c r="L181" s="57"/>
      <c r="M181" s="35"/>
      <c r="N181" s="35"/>
      <c r="O181" s="35"/>
      <c r="P181" s="39">
        <f t="shared" si="1"/>
        <v>999999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37"/>
      <c r="B182" s="35"/>
      <c r="C182" s="35"/>
      <c r="D182" s="35"/>
      <c r="E182" s="57"/>
      <c r="F182" s="35"/>
      <c r="G182" s="35"/>
      <c r="H182" s="4"/>
      <c r="I182" s="35"/>
      <c r="J182" s="37"/>
      <c r="K182" s="35"/>
      <c r="L182" s="57"/>
      <c r="M182" s="35"/>
      <c r="N182" s="35"/>
      <c r="O182" s="35"/>
      <c r="P182" s="39">
        <f t="shared" si="1"/>
        <v>999999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37"/>
      <c r="B183" s="35"/>
      <c r="C183" s="35"/>
      <c r="D183" s="35"/>
      <c r="E183" s="57"/>
      <c r="F183" s="35"/>
      <c r="G183" s="35"/>
      <c r="H183" s="4"/>
      <c r="I183" s="35"/>
      <c r="J183" s="37"/>
      <c r="K183" s="35"/>
      <c r="L183" s="57"/>
      <c r="M183" s="35"/>
      <c r="N183" s="35"/>
      <c r="O183" s="35"/>
      <c r="P183" s="39">
        <f t="shared" si="1"/>
        <v>999999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37"/>
      <c r="B184" s="35"/>
      <c r="C184" s="35"/>
      <c r="D184" s="35"/>
      <c r="E184" s="57"/>
      <c r="F184" s="35"/>
      <c r="G184" s="35"/>
      <c r="H184" s="4"/>
      <c r="I184" s="35"/>
      <c r="J184" s="37"/>
      <c r="K184" s="35"/>
      <c r="L184" s="57"/>
      <c r="M184" s="35"/>
      <c r="N184" s="35"/>
      <c r="O184" s="35"/>
      <c r="P184" s="39">
        <f t="shared" si="1"/>
        <v>999999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37"/>
      <c r="B185" s="35"/>
      <c r="C185" s="35"/>
      <c r="D185" s="35"/>
      <c r="E185" s="57"/>
      <c r="F185" s="35"/>
      <c r="G185" s="35"/>
      <c r="H185" s="4"/>
      <c r="I185" s="35"/>
      <c r="J185" s="37"/>
      <c r="K185" s="35"/>
      <c r="L185" s="57"/>
      <c r="M185" s="35"/>
      <c r="N185" s="35"/>
      <c r="O185" s="35"/>
      <c r="P185" s="39">
        <f t="shared" si="1"/>
        <v>999999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37"/>
      <c r="B186" s="35"/>
      <c r="C186" s="35"/>
      <c r="D186" s="35"/>
      <c r="E186" s="57"/>
      <c r="F186" s="35"/>
      <c r="G186" s="35"/>
      <c r="H186" s="4"/>
      <c r="I186" s="35"/>
      <c r="J186" s="37"/>
      <c r="K186" s="35"/>
      <c r="L186" s="57"/>
      <c r="M186" s="35"/>
      <c r="N186" s="35"/>
      <c r="O186" s="35"/>
      <c r="P186" s="39">
        <f t="shared" si="1"/>
        <v>999999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37"/>
      <c r="B187" s="35"/>
      <c r="C187" s="35"/>
      <c r="D187" s="35"/>
      <c r="E187" s="57"/>
      <c r="F187" s="35"/>
      <c r="G187" s="35"/>
      <c r="H187" s="4"/>
      <c r="I187" s="35"/>
      <c r="J187" s="37"/>
      <c r="K187" s="35"/>
      <c r="L187" s="57"/>
      <c r="M187" s="35"/>
      <c r="N187" s="35"/>
      <c r="O187" s="35"/>
      <c r="P187" s="39">
        <f t="shared" si="1"/>
        <v>999999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37"/>
      <c r="B188" s="35"/>
      <c r="C188" s="35"/>
      <c r="D188" s="35"/>
      <c r="E188" s="57"/>
      <c r="F188" s="35"/>
      <c r="G188" s="35"/>
      <c r="H188" s="4"/>
      <c r="I188" s="35"/>
      <c r="J188" s="37"/>
      <c r="K188" s="35"/>
      <c r="L188" s="57"/>
      <c r="M188" s="35"/>
      <c r="N188" s="35"/>
      <c r="O188" s="35"/>
      <c r="P188" s="39">
        <f t="shared" si="1"/>
        <v>999999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37"/>
      <c r="B189" s="35"/>
      <c r="C189" s="35"/>
      <c r="D189" s="35"/>
      <c r="E189" s="57"/>
      <c r="F189" s="35"/>
      <c r="G189" s="35"/>
      <c r="H189" s="4"/>
      <c r="I189" s="35"/>
      <c r="J189" s="37"/>
      <c r="K189" s="35"/>
      <c r="L189" s="57"/>
      <c r="M189" s="35"/>
      <c r="N189" s="35"/>
      <c r="O189" s="35"/>
      <c r="P189" s="39">
        <f t="shared" si="1"/>
        <v>999999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37"/>
      <c r="B190" s="35"/>
      <c r="C190" s="35"/>
      <c r="D190" s="35"/>
      <c r="E190" s="57"/>
      <c r="F190" s="35"/>
      <c r="G190" s="35"/>
      <c r="H190" s="4"/>
      <c r="I190" s="35"/>
      <c r="J190" s="37"/>
      <c r="K190" s="35"/>
      <c r="L190" s="57"/>
      <c r="M190" s="35"/>
      <c r="N190" s="35"/>
      <c r="O190" s="35"/>
      <c r="P190" s="39">
        <f t="shared" si="1"/>
        <v>999999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37"/>
      <c r="B191" s="35"/>
      <c r="C191" s="35"/>
      <c r="D191" s="35"/>
      <c r="E191" s="57"/>
      <c r="F191" s="35"/>
      <c r="G191" s="35"/>
      <c r="H191" s="4"/>
      <c r="I191" s="35"/>
      <c r="J191" s="37"/>
      <c r="K191" s="35"/>
      <c r="L191" s="57"/>
      <c r="M191" s="35"/>
      <c r="N191" s="35"/>
      <c r="O191" s="35"/>
      <c r="P191" s="39">
        <f t="shared" si="1"/>
        <v>999999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37"/>
      <c r="B192" s="35"/>
      <c r="C192" s="35"/>
      <c r="D192" s="35"/>
      <c r="E192" s="57"/>
      <c r="F192" s="35"/>
      <c r="G192" s="35"/>
      <c r="H192" s="4"/>
      <c r="I192" s="35"/>
      <c r="J192" s="37"/>
      <c r="K192" s="35"/>
      <c r="L192" s="57"/>
      <c r="M192" s="35"/>
      <c r="N192" s="35"/>
      <c r="O192" s="35"/>
      <c r="P192" s="39">
        <f t="shared" si="1"/>
        <v>999999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37"/>
      <c r="B193" s="35"/>
      <c r="C193" s="35"/>
      <c r="D193" s="35"/>
      <c r="E193" s="57"/>
      <c r="F193" s="35"/>
      <c r="G193" s="35"/>
      <c r="H193" s="4"/>
      <c r="I193" s="35"/>
      <c r="J193" s="37"/>
      <c r="K193" s="35"/>
      <c r="L193" s="57"/>
      <c r="M193" s="35"/>
      <c r="N193" s="35"/>
      <c r="O193" s="35"/>
      <c r="P193" s="39">
        <f t="shared" si="1"/>
        <v>999999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37"/>
      <c r="B194" s="35"/>
      <c r="C194" s="35"/>
      <c r="D194" s="35"/>
      <c r="E194" s="57"/>
      <c r="F194" s="35"/>
      <c r="G194" s="35"/>
      <c r="H194" s="4"/>
      <c r="I194" s="35"/>
      <c r="J194" s="37"/>
      <c r="K194" s="35"/>
      <c r="L194" s="57"/>
      <c r="M194" s="35"/>
      <c r="N194" s="35"/>
      <c r="O194" s="35"/>
      <c r="P194" s="39">
        <f t="shared" si="1"/>
        <v>999999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37"/>
      <c r="B195" s="35"/>
      <c r="C195" s="35"/>
      <c r="D195" s="35"/>
      <c r="E195" s="57"/>
      <c r="F195" s="35"/>
      <c r="G195" s="35"/>
      <c r="H195" s="4"/>
      <c r="I195" s="35"/>
      <c r="J195" s="37"/>
      <c r="K195" s="35"/>
      <c r="L195" s="57"/>
      <c r="M195" s="35"/>
      <c r="N195" s="35"/>
      <c r="O195" s="35"/>
      <c r="P195" s="39">
        <f t="shared" si="1"/>
        <v>999999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37"/>
      <c r="B196" s="35"/>
      <c r="C196" s="35"/>
      <c r="D196" s="35"/>
      <c r="E196" s="57"/>
      <c r="F196" s="35"/>
      <c r="G196" s="35"/>
      <c r="H196" s="4"/>
      <c r="I196" s="35"/>
      <c r="J196" s="37"/>
      <c r="K196" s="35"/>
      <c r="L196" s="57"/>
      <c r="M196" s="35"/>
      <c r="N196" s="35"/>
      <c r="O196" s="35"/>
      <c r="P196" s="39">
        <f t="shared" si="1"/>
        <v>999999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37"/>
      <c r="B197" s="35"/>
      <c r="C197" s="35"/>
      <c r="D197" s="35"/>
      <c r="E197" s="57"/>
      <c r="F197" s="35"/>
      <c r="G197" s="35"/>
      <c r="H197" s="4"/>
      <c r="I197" s="35"/>
      <c r="J197" s="37"/>
      <c r="K197" s="35"/>
      <c r="L197" s="57"/>
      <c r="M197" s="35"/>
      <c r="N197" s="35"/>
      <c r="O197" s="35"/>
      <c r="P197" s="39">
        <f t="shared" si="1"/>
        <v>999999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37"/>
      <c r="B198" s="35"/>
      <c r="C198" s="35"/>
      <c r="D198" s="35"/>
      <c r="E198" s="57"/>
      <c r="F198" s="35"/>
      <c r="G198" s="35"/>
      <c r="H198" s="4"/>
      <c r="I198" s="35"/>
      <c r="J198" s="37"/>
      <c r="K198" s="35"/>
      <c r="L198" s="57"/>
      <c r="M198" s="35"/>
      <c r="N198" s="35"/>
      <c r="O198" s="35"/>
      <c r="P198" s="39">
        <f t="shared" si="1"/>
        <v>999999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37"/>
      <c r="B199" s="35"/>
      <c r="C199" s="35"/>
      <c r="D199" s="35"/>
      <c r="E199" s="57"/>
      <c r="F199" s="35"/>
      <c r="G199" s="35"/>
      <c r="H199" s="4"/>
      <c r="I199" s="35"/>
      <c r="J199" s="37"/>
      <c r="K199" s="35"/>
      <c r="L199" s="57"/>
      <c r="M199" s="35"/>
      <c r="N199" s="35"/>
      <c r="O199" s="35"/>
      <c r="P199" s="39">
        <f t="shared" si="1"/>
        <v>999999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37"/>
      <c r="B200" s="35"/>
      <c r="C200" s="35"/>
      <c r="D200" s="35"/>
      <c r="E200" s="57"/>
      <c r="F200" s="35"/>
      <c r="G200" s="35"/>
      <c r="H200" s="4"/>
      <c r="I200" s="35"/>
      <c r="J200" s="37"/>
      <c r="K200" s="35"/>
      <c r="L200" s="57"/>
      <c r="M200" s="35"/>
      <c r="N200" s="35"/>
      <c r="O200" s="35"/>
      <c r="P200" s="39">
        <f t="shared" si="1"/>
        <v>999999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37"/>
      <c r="B201" s="35"/>
      <c r="C201" s="35"/>
      <c r="D201" s="35"/>
      <c r="E201" s="57"/>
      <c r="F201" s="35"/>
      <c r="G201" s="35"/>
      <c r="H201" s="4"/>
      <c r="I201" s="35"/>
      <c r="J201" s="37"/>
      <c r="K201" s="35"/>
      <c r="L201" s="57"/>
      <c r="M201" s="35"/>
      <c r="N201" s="35"/>
      <c r="O201" s="35"/>
      <c r="P201" s="39">
        <f t="shared" si="1"/>
        <v>999999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37"/>
      <c r="B202" s="35"/>
      <c r="C202" s="35"/>
      <c r="D202" s="35"/>
      <c r="E202" s="57"/>
      <c r="F202" s="35"/>
      <c r="G202" s="35"/>
      <c r="H202" s="4"/>
      <c r="I202" s="35"/>
      <c r="J202" s="37"/>
      <c r="K202" s="35"/>
      <c r="L202" s="57"/>
      <c r="M202" s="35"/>
      <c r="N202" s="35"/>
      <c r="O202" s="35"/>
      <c r="P202" s="39">
        <f t="shared" si="1"/>
        <v>999999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37"/>
      <c r="B203" s="35"/>
      <c r="C203" s="35"/>
      <c r="D203" s="35"/>
      <c r="E203" s="57"/>
      <c r="F203" s="35"/>
      <c r="G203" s="35"/>
      <c r="H203" s="4"/>
      <c r="I203" s="35"/>
      <c r="J203" s="37"/>
      <c r="K203" s="35"/>
      <c r="L203" s="57"/>
      <c r="M203" s="35"/>
      <c r="N203" s="35"/>
      <c r="O203" s="35"/>
      <c r="P203" s="39">
        <f t="shared" si="1"/>
        <v>999999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37"/>
      <c r="B204" s="35"/>
      <c r="C204" s="35"/>
      <c r="D204" s="35"/>
      <c r="E204" s="57"/>
      <c r="F204" s="35"/>
      <c r="G204" s="35"/>
      <c r="H204" s="4"/>
      <c r="I204" s="35"/>
      <c r="J204" s="37"/>
      <c r="K204" s="35"/>
      <c r="L204" s="57"/>
      <c r="M204" s="35"/>
      <c r="N204" s="35"/>
      <c r="O204" s="35"/>
      <c r="P204" s="39">
        <f t="shared" si="1"/>
        <v>999999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37"/>
      <c r="B205" s="35"/>
      <c r="C205" s="35"/>
      <c r="D205" s="35"/>
      <c r="E205" s="57"/>
      <c r="F205" s="35"/>
      <c r="G205" s="35"/>
      <c r="H205" s="4"/>
      <c r="I205" s="35"/>
      <c r="J205" s="37"/>
      <c r="K205" s="35"/>
      <c r="L205" s="57"/>
      <c r="M205" s="35"/>
      <c r="N205" s="35"/>
      <c r="O205" s="35"/>
      <c r="P205" s="39">
        <f t="shared" si="1"/>
        <v>999999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37"/>
      <c r="B206" s="35"/>
      <c r="C206" s="35"/>
      <c r="D206" s="35"/>
      <c r="E206" s="57"/>
      <c r="F206" s="35"/>
      <c r="G206" s="35"/>
      <c r="H206" s="4"/>
      <c r="I206" s="35"/>
      <c r="J206" s="37"/>
      <c r="K206" s="35"/>
      <c r="L206" s="57"/>
      <c r="M206" s="35"/>
      <c r="N206" s="35"/>
      <c r="O206" s="35"/>
      <c r="P206" s="39">
        <f t="shared" si="1"/>
        <v>999999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37"/>
      <c r="B207" s="35"/>
      <c r="C207" s="35"/>
      <c r="D207" s="35"/>
      <c r="E207" s="57"/>
      <c r="F207" s="35"/>
      <c r="G207" s="35"/>
      <c r="H207" s="4"/>
      <c r="I207" s="35"/>
      <c r="J207" s="37"/>
      <c r="K207" s="35"/>
      <c r="L207" s="57"/>
      <c r="M207" s="35"/>
      <c r="N207" s="35"/>
      <c r="O207" s="35"/>
      <c r="P207" s="39">
        <f t="shared" si="1"/>
        <v>999999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37"/>
      <c r="B208" s="35"/>
      <c r="C208" s="35"/>
      <c r="D208" s="35"/>
      <c r="E208" s="57"/>
      <c r="F208" s="35"/>
      <c r="G208" s="35"/>
      <c r="H208" s="4"/>
      <c r="I208" s="35"/>
      <c r="J208" s="37"/>
      <c r="K208" s="35"/>
      <c r="L208" s="57"/>
      <c r="M208" s="35"/>
      <c r="N208" s="35"/>
      <c r="O208" s="35"/>
      <c r="P208" s="39">
        <f t="shared" si="1"/>
        <v>999999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37"/>
      <c r="B209" s="35"/>
      <c r="C209" s="35"/>
      <c r="D209" s="35"/>
      <c r="E209" s="57"/>
      <c r="F209" s="35"/>
      <c r="G209" s="3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37"/>
      <c r="B210" s="35"/>
      <c r="C210" s="35"/>
      <c r="D210" s="35"/>
      <c r="E210" s="57"/>
      <c r="F210" s="35"/>
      <c r="G210" s="3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37"/>
      <c r="B211" s="35"/>
      <c r="C211" s="35"/>
      <c r="D211" s="35"/>
      <c r="E211" s="57"/>
      <c r="F211" s="35"/>
      <c r="G211" s="3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37"/>
      <c r="B212" s="35"/>
      <c r="C212" s="35"/>
      <c r="D212" s="35"/>
      <c r="E212" s="57"/>
      <c r="F212" s="35"/>
      <c r="G212" s="35"/>
      <c r="H212" s="4"/>
      <c r="I212" s="34" t="s">
        <v>240</v>
      </c>
      <c r="J212" s="9"/>
      <c r="K212" s="9"/>
      <c r="L212" s="9"/>
      <c r="M212" s="9"/>
      <c r="N212" s="10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37"/>
      <c r="B213" s="35"/>
      <c r="C213" s="35"/>
      <c r="D213" s="35"/>
      <c r="E213" s="57"/>
      <c r="F213" s="35"/>
      <c r="G213" s="35"/>
      <c r="H213" s="4"/>
      <c r="I213" s="31" t="s">
        <v>93</v>
      </c>
      <c r="J213" s="31" t="s">
        <v>94</v>
      </c>
      <c r="K213" s="31" t="s">
        <v>241</v>
      </c>
      <c r="L213" s="31" t="s">
        <v>214</v>
      </c>
      <c r="M213" s="31" t="s">
        <v>95</v>
      </c>
      <c r="N213" s="31" t="s">
        <v>81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35" t="s">
        <v>242</v>
      </c>
      <c r="J214" s="57">
        <v>10000.0</v>
      </c>
      <c r="K214" s="57">
        <v>3200.0</v>
      </c>
      <c r="L214" s="37">
        <v>46568.0</v>
      </c>
      <c r="M214" s="62">
        <f t="shared" ref="M214:M238" si="2">IFERROR(K214/J214,0)</f>
        <v>0.32</v>
      </c>
      <c r="N214" s="3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35" t="s">
        <v>243</v>
      </c>
      <c r="J215" s="57">
        <v>3500.0</v>
      </c>
      <c r="K215" s="57">
        <v>950.0</v>
      </c>
      <c r="L215" s="37">
        <v>46508.0</v>
      </c>
      <c r="M215" s="62">
        <f t="shared" si="2"/>
        <v>0.2714285714</v>
      </c>
      <c r="N215" s="3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35"/>
      <c r="J216" s="57"/>
      <c r="K216" s="57"/>
      <c r="L216" s="37"/>
      <c r="M216" s="62">
        <f t="shared" si="2"/>
        <v>0</v>
      </c>
      <c r="N216" s="3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35"/>
      <c r="J217" s="57"/>
      <c r="K217" s="57"/>
      <c r="L217" s="37"/>
      <c r="M217" s="62">
        <f t="shared" si="2"/>
        <v>0</v>
      </c>
      <c r="N217" s="3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35"/>
      <c r="J218" s="57"/>
      <c r="K218" s="57"/>
      <c r="L218" s="37"/>
      <c r="M218" s="62">
        <f t="shared" si="2"/>
        <v>0</v>
      </c>
      <c r="N218" s="3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35"/>
      <c r="J219" s="57"/>
      <c r="K219" s="57"/>
      <c r="L219" s="37"/>
      <c r="M219" s="62">
        <f t="shared" si="2"/>
        <v>0</v>
      </c>
      <c r="N219" s="3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35"/>
      <c r="J220" s="57"/>
      <c r="K220" s="57"/>
      <c r="L220" s="37"/>
      <c r="M220" s="62">
        <f t="shared" si="2"/>
        <v>0</v>
      </c>
      <c r="N220" s="3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35"/>
      <c r="J221" s="57"/>
      <c r="K221" s="57"/>
      <c r="L221" s="37"/>
      <c r="M221" s="62">
        <f t="shared" si="2"/>
        <v>0</v>
      </c>
      <c r="N221" s="3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35"/>
      <c r="J222" s="57"/>
      <c r="K222" s="57"/>
      <c r="L222" s="37"/>
      <c r="M222" s="62">
        <f t="shared" si="2"/>
        <v>0</v>
      </c>
      <c r="N222" s="3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35"/>
      <c r="J223" s="57"/>
      <c r="K223" s="57"/>
      <c r="L223" s="37"/>
      <c r="M223" s="62">
        <f t="shared" si="2"/>
        <v>0</v>
      </c>
      <c r="N223" s="3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35"/>
      <c r="J224" s="57"/>
      <c r="K224" s="57"/>
      <c r="L224" s="37"/>
      <c r="M224" s="62">
        <f t="shared" si="2"/>
        <v>0</v>
      </c>
      <c r="N224" s="3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35"/>
      <c r="J225" s="57"/>
      <c r="K225" s="57"/>
      <c r="L225" s="37"/>
      <c r="M225" s="62">
        <f t="shared" si="2"/>
        <v>0</v>
      </c>
      <c r="N225" s="3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35"/>
      <c r="J226" s="57"/>
      <c r="K226" s="57"/>
      <c r="L226" s="37"/>
      <c r="M226" s="62">
        <f t="shared" si="2"/>
        <v>0</v>
      </c>
      <c r="N226" s="3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35"/>
      <c r="J227" s="57"/>
      <c r="K227" s="57"/>
      <c r="L227" s="37"/>
      <c r="M227" s="62">
        <f t="shared" si="2"/>
        <v>0</v>
      </c>
      <c r="N227" s="3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35"/>
      <c r="J228" s="57"/>
      <c r="K228" s="57"/>
      <c r="L228" s="37"/>
      <c r="M228" s="62">
        <f t="shared" si="2"/>
        <v>0</v>
      </c>
      <c r="N228" s="3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35"/>
      <c r="J229" s="57"/>
      <c r="K229" s="57"/>
      <c r="L229" s="37"/>
      <c r="M229" s="62">
        <f t="shared" si="2"/>
        <v>0</v>
      </c>
      <c r="N229" s="3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35"/>
      <c r="J230" s="57"/>
      <c r="K230" s="57"/>
      <c r="L230" s="37"/>
      <c r="M230" s="62">
        <f t="shared" si="2"/>
        <v>0</v>
      </c>
      <c r="N230" s="3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35"/>
      <c r="J231" s="57"/>
      <c r="K231" s="57"/>
      <c r="L231" s="37"/>
      <c r="M231" s="62">
        <f t="shared" si="2"/>
        <v>0</v>
      </c>
      <c r="N231" s="3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35"/>
      <c r="J232" s="57"/>
      <c r="K232" s="57"/>
      <c r="L232" s="37"/>
      <c r="M232" s="62">
        <f t="shared" si="2"/>
        <v>0</v>
      </c>
      <c r="N232" s="3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35"/>
      <c r="J233" s="57"/>
      <c r="K233" s="57"/>
      <c r="L233" s="37"/>
      <c r="M233" s="62">
        <f t="shared" si="2"/>
        <v>0</v>
      </c>
      <c r="N233" s="3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35"/>
      <c r="J234" s="57"/>
      <c r="K234" s="57"/>
      <c r="L234" s="37"/>
      <c r="M234" s="62">
        <f t="shared" si="2"/>
        <v>0</v>
      </c>
      <c r="N234" s="3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35"/>
      <c r="J235" s="57"/>
      <c r="K235" s="57"/>
      <c r="L235" s="37"/>
      <c r="M235" s="62">
        <f t="shared" si="2"/>
        <v>0</v>
      </c>
      <c r="N235" s="3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35"/>
      <c r="J236" s="57"/>
      <c r="K236" s="57"/>
      <c r="L236" s="37"/>
      <c r="M236" s="62">
        <f t="shared" si="2"/>
        <v>0</v>
      </c>
      <c r="N236" s="3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35"/>
      <c r="J237" s="57"/>
      <c r="K237" s="57"/>
      <c r="L237" s="37"/>
      <c r="M237" s="62">
        <f t="shared" si="2"/>
        <v>0</v>
      </c>
      <c r="N237" s="3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35"/>
      <c r="J238" s="57"/>
      <c r="K238" s="57"/>
      <c r="L238" s="37"/>
      <c r="M238" s="62">
        <f t="shared" si="2"/>
        <v>0</v>
      </c>
      <c r="N238" s="3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34" t="s">
        <v>244</v>
      </c>
      <c r="J242" s="9"/>
      <c r="K242" s="9"/>
      <c r="L242" s="9"/>
      <c r="M242" s="9"/>
      <c r="N242" s="9"/>
      <c r="O242" s="10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31" t="s">
        <v>245</v>
      </c>
      <c r="J243" s="31" t="s">
        <v>246</v>
      </c>
      <c r="K243" s="31" t="s">
        <v>247</v>
      </c>
      <c r="L243" s="31" t="s">
        <v>248</v>
      </c>
      <c r="M243" s="31" t="s">
        <v>249</v>
      </c>
      <c r="N243" s="31" t="s">
        <v>214</v>
      </c>
      <c r="O243" s="31" t="s">
        <v>95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35" t="s">
        <v>142</v>
      </c>
      <c r="J244" s="57">
        <v>2500.0</v>
      </c>
      <c r="K244" s="57">
        <v>1780.0</v>
      </c>
      <c r="L244" s="57">
        <v>75.0</v>
      </c>
      <c r="M244" s="63">
        <v>0.2499</v>
      </c>
      <c r="N244" s="37">
        <v>46600.0</v>
      </c>
      <c r="O244" s="62">
        <f t="shared" ref="O244:O263" si="3">IFERROR(1-K244/J244,0)</f>
        <v>0.288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35"/>
      <c r="J245" s="57"/>
      <c r="K245" s="57"/>
      <c r="L245" s="57"/>
      <c r="M245" s="63"/>
      <c r="N245" s="37"/>
      <c r="O245" s="62">
        <f t="shared" si="3"/>
        <v>0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35"/>
      <c r="J246" s="57"/>
      <c r="K246" s="57"/>
      <c r="L246" s="57"/>
      <c r="M246" s="63"/>
      <c r="N246" s="37"/>
      <c r="O246" s="62">
        <f t="shared" si="3"/>
        <v>0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35"/>
      <c r="J247" s="57"/>
      <c r="K247" s="57"/>
      <c r="L247" s="57"/>
      <c r="M247" s="63"/>
      <c r="N247" s="37"/>
      <c r="O247" s="62">
        <f t="shared" si="3"/>
        <v>0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35"/>
      <c r="J248" s="57"/>
      <c r="K248" s="57"/>
      <c r="L248" s="57"/>
      <c r="M248" s="63"/>
      <c r="N248" s="37"/>
      <c r="O248" s="62">
        <f t="shared" si="3"/>
        <v>0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35"/>
      <c r="J249" s="57"/>
      <c r="K249" s="57"/>
      <c r="L249" s="57"/>
      <c r="M249" s="63"/>
      <c r="N249" s="37"/>
      <c r="O249" s="62">
        <f t="shared" si="3"/>
        <v>0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35"/>
      <c r="J250" s="57"/>
      <c r="K250" s="57"/>
      <c r="L250" s="57"/>
      <c r="M250" s="63"/>
      <c r="N250" s="37"/>
      <c r="O250" s="62">
        <f t="shared" si="3"/>
        <v>0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35"/>
      <c r="J251" s="57"/>
      <c r="K251" s="57"/>
      <c r="L251" s="57"/>
      <c r="M251" s="63"/>
      <c r="N251" s="37"/>
      <c r="O251" s="62">
        <f t="shared" si="3"/>
        <v>0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35"/>
      <c r="J252" s="57"/>
      <c r="K252" s="57"/>
      <c r="L252" s="57"/>
      <c r="M252" s="63"/>
      <c r="N252" s="37"/>
      <c r="O252" s="62">
        <f t="shared" si="3"/>
        <v>0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35"/>
      <c r="J253" s="57"/>
      <c r="K253" s="57"/>
      <c r="L253" s="57"/>
      <c r="M253" s="63"/>
      <c r="N253" s="37"/>
      <c r="O253" s="62">
        <f t="shared" si="3"/>
        <v>0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35"/>
      <c r="J254" s="57"/>
      <c r="K254" s="57"/>
      <c r="L254" s="57"/>
      <c r="M254" s="63"/>
      <c r="N254" s="37"/>
      <c r="O254" s="62">
        <f t="shared" si="3"/>
        <v>0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35"/>
      <c r="J255" s="57"/>
      <c r="K255" s="57"/>
      <c r="L255" s="57"/>
      <c r="M255" s="63"/>
      <c r="N255" s="37"/>
      <c r="O255" s="62">
        <f t="shared" si="3"/>
        <v>0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35"/>
      <c r="J256" s="57"/>
      <c r="K256" s="57"/>
      <c r="L256" s="57"/>
      <c r="M256" s="63"/>
      <c r="N256" s="37"/>
      <c r="O256" s="62">
        <f t="shared" si="3"/>
        <v>0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35"/>
      <c r="J257" s="57"/>
      <c r="K257" s="57"/>
      <c r="L257" s="57"/>
      <c r="M257" s="63"/>
      <c r="N257" s="37"/>
      <c r="O257" s="62">
        <f t="shared" si="3"/>
        <v>0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35"/>
      <c r="J258" s="57"/>
      <c r="K258" s="57"/>
      <c r="L258" s="57"/>
      <c r="M258" s="63"/>
      <c r="N258" s="37"/>
      <c r="O258" s="62">
        <f t="shared" si="3"/>
        <v>0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35"/>
      <c r="J259" s="57"/>
      <c r="K259" s="57"/>
      <c r="L259" s="57"/>
      <c r="M259" s="63"/>
      <c r="N259" s="37"/>
      <c r="O259" s="62">
        <f t="shared" si="3"/>
        <v>0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35"/>
      <c r="J260" s="57"/>
      <c r="K260" s="57"/>
      <c r="L260" s="57"/>
      <c r="M260" s="63"/>
      <c r="N260" s="37"/>
      <c r="O260" s="62">
        <f t="shared" si="3"/>
        <v>0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35"/>
      <c r="J261" s="57"/>
      <c r="K261" s="57"/>
      <c r="L261" s="57"/>
      <c r="M261" s="63"/>
      <c r="N261" s="37"/>
      <c r="O261" s="62">
        <f t="shared" si="3"/>
        <v>0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35"/>
      <c r="J262" s="57"/>
      <c r="K262" s="57"/>
      <c r="L262" s="57"/>
      <c r="M262" s="63"/>
      <c r="N262" s="37"/>
      <c r="O262" s="62">
        <f t="shared" si="3"/>
        <v>0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35"/>
      <c r="J263" s="57"/>
      <c r="K263" s="57"/>
      <c r="L263" s="57"/>
      <c r="M263" s="63"/>
      <c r="N263" s="37"/>
      <c r="O263" s="62">
        <f t="shared" si="3"/>
        <v>0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9">
    <mergeCell ref="I212:N212"/>
    <mergeCell ref="I242:O242"/>
    <mergeCell ref="A1:P2"/>
    <mergeCell ref="A3:P3"/>
    <mergeCell ref="I5:P5"/>
    <mergeCell ref="A8:B9"/>
    <mergeCell ref="C8:D9"/>
    <mergeCell ref="E8:G9"/>
    <mergeCell ref="A12:G12"/>
  </mergeCells>
  <conditionalFormatting sqref="M9:M208">
    <cfRule type="expression" dxfId="8" priority="1">
      <formula>$M9="Paid"</formula>
    </cfRule>
  </conditionalFormatting>
  <conditionalFormatting sqref="M9:M208">
    <cfRule type="expression" dxfId="5" priority="2">
      <formula>$M9="Late"</formula>
    </cfRule>
  </conditionalFormatting>
  <dataValidations>
    <dataValidation type="list" allowBlank="1" sqref="D14:D213">
      <formula1>SETTINGS!$E$6:$E$18</formula1>
    </dataValidation>
    <dataValidation type="list" allowBlank="1" sqref="M9:M208">
      <formula1>SETTINGS!$F$6:$F$9</formula1>
    </dataValidation>
    <dataValidation type="list" allowBlank="1" sqref="C14:C213">
      <formula1>SETTINGS!$G$6:$G$8</formula1>
    </dataValidation>
    <dataValidation type="list" allowBlank="1" sqref="N9:N208">
      <formula1>"Yes,No"</formula1>
    </dataValidation>
  </dataValidation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8.0"/>
    <col customWidth="1" min="3" max="3" width="16.0"/>
    <col customWidth="1" min="4" max="5" width="14.0"/>
    <col customWidth="1" min="6" max="6" width="16.0"/>
    <col customWidth="1" min="7" max="7" width="18.0"/>
    <col customWidth="1" min="8" max="8" width="28.0"/>
    <col customWidth="1" min="9" max="26" width="8.88"/>
  </cols>
  <sheetData>
    <row r="1" ht="13.5" customHeight="1">
      <c r="A1" s="1" t="s">
        <v>158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" t="s">
        <v>159</v>
      </c>
      <c r="B3" s="9"/>
      <c r="C3" s="9"/>
      <c r="D3" s="9"/>
      <c r="E3" s="9"/>
      <c r="F3" s="9"/>
      <c r="G3" s="9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4" t="s">
        <v>160</v>
      </c>
      <c r="B5" s="9"/>
      <c r="C5" s="9"/>
      <c r="D5" s="9"/>
      <c r="E5" s="9"/>
      <c r="F5" s="9"/>
      <c r="G5" s="9"/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31" t="s">
        <v>13</v>
      </c>
      <c r="B7" s="31" t="s">
        <v>161</v>
      </c>
      <c r="C7" s="31" t="s">
        <v>162</v>
      </c>
      <c r="D7" s="31" t="s">
        <v>163</v>
      </c>
      <c r="E7" s="31" t="s">
        <v>164</v>
      </c>
      <c r="F7" s="31" t="s">
        <v>18</v>
      </c>
      <c r="G7" s="31" t="s">
        <v>108</v>
      </c>
      <c r="H7" s="31" t="s">
        <v>81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35" t="s">
        <v>165</v>
      </c>
      <c r="B8" s="35" t="s">
        <v>166</v>
      </c>
      <c r="C8" s="35" t="s">
        <v>167</v>
      </c>
      <c r="D8" s="37">
        <v>46266.0</v>
      </c>
      <c r="E8" s="37">
        <v>46296.0</v>
      </c>
      <c r="F8" s="35" t="s">
        <v>114</v>
      </c>
      <c r="G8" s="35" t="s">
        <v>74</v>
      </c>
      <c r="H8" s="3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35" t="s">
        <v>168</v>
      </c>
      <c r="B9" s="35" t="s">
        <v>169</v>
      </c>
      <c r="C9" s="35" t="s">
        <v>167</v>
      </c>
      <c r="D9" s="37">
        <v>46273.0</v>
      </c>
      <c r="E9" s="37">
        <v>46303.0</v>
      </c>
      <c r="F9" s="35" t="s">
        <v>114</v>
      </c>
      <c r="G9" s="35" t="s">
        <v>74</v>
      </c>
      <c r="H9" s="3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35"/>
      <c r="B10" s="35"/>
      <c r="C10" s="35"/>
      <c r="D10" s="37"/>
      <c r="E10" s="37"/>
      <c r="F10" s="35"/>
      <c r="G10" s="35"/>
      <c r="H10" s="3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35"/>
      <c r="B11" s="35"/>
      <c r="C11" s="35"/>
      <c r="D11" s="37"/>
      <c r="E11" s="37"/>
      <c r="F11" s="35"/>
      <c r="G11" s="35"/>
      <c r="H11" s="3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35"/>
      <c r="B12" s="35"/>
      <c r="C12" s="35"/>
      <c r="D12" s="37"/>
      <c r="E12" s="37"/>
      <c r="F12" s="35"/>
      <c r="G12" s="35"/>
      <c r="H12" s="3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35"/>
      <c r="B13" s="35"/>
      <c r="C13" s="35"/>
      <c r="D13" s="37"/>
      <c r="E13" s="37"/>
      <c r="F13" s="35"/>
      <c r="G13" s="35"/>
      <c r="H13" s="3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35"/>
      <c r="B14" s="35"/>
      <c r="C14" s="35"/>
      <c r="D14" s="37"/>
      <c r="E14" s="37"/>
      <c r="F14" s="35"/>
      <c r="G14" s="35"/>
      <c r="H14" s="3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35"/>
      <c r="B15" s="35"/>
      <c r="C15" s="35"/>
      <c r="D15" s="37"/>
      <c r="E15" s="37"/>
      <c r="F15" s="35"/>
      <c r="G15" s="35"/>
      <c r="H15" s="3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35"/>
      <c r="B16" s="35"/>
      <c r="C16" s="35"/>
      <c r="D16" s="37"/>
      <c r="E16" s="37"/>
      <c r="F16" s="35"/>
      <c r="G16" s="35"/>
      <c r="H16" s="3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35"/>
      <c r="B17" s="35"/>
      <c r="C17" s="35"/>
      <c r="D17" s="37"/>
      <c r="E17" s="37"/>
      <c r="F17" s="35"/>
      <c r="G17" s="35"/>
      <c r="H17" s="3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35"/>
      <c r="B18" s="35"/>
      <c r="C18" s="35"/>
      <c r="D18" s="37"/>
      <c r="E18" s="37"/>
      <c r="F18" s="35"/>
      <c r="G18" s="35"/>
      <c r="H18" s="3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35"/>
      <c r="B19" s="35"/>
      <c r="C19" s="35"/>
      <c r="D19" s="37"/>
      <c r="E19" s="37"/>
      <c r="F19" s="35"/>
      <c r="G19" s="35"/>
      <c r="H19" s="3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35"/>
      <c r="B20" s="35"/>
      <c r="C20" s="35"/>
      <c r="D20" s="37"/>
      <c r="E20" s="37"/>
      <c r="F20" s="35"/>
      <c r="G20" s="35"/>
      <c r="H20" s="3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35"/>
      <c r="B21" s="35"/>
      <c r="C21" s="35"/>
      <c r="D21" s="37"/>
      <c r="E21" s="37"/>
      <c r="F21" s="35"/>
      <c r="G21" s="35"/>
      <c r="H21" s="3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35"/>
      <c r="B22" s="35"/>
      <c r="C22" s="35"/>
      <c r="D22" s="37"/>
      <c r="E22" s="37"/>
      <c r="F22" s="35"/>
      <c r="G22" s="35"/>
      <c r="H22" s="3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35"/>
      <c r="B23" s="35"/>
      <c r="C23" s="35"/>
      <c r="D23" s="37"/>
      <c r="E23" s="37"/>
      <c r="F23" s="35"/>
      <c r="G23" s="35"/>
      <c r="H23" s="3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35"/>
      <c r="B24" s="35"/>
      <c r="C24" s="35"/>
      <c r="D24" s="37"/>
      <c r="E24" s="37"/>
      <c r="F24" s="35"/>
      <c r="G24" s="35"/>
      <c r="H24" s="3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35"/>
      <c r="B25" s="35"/>
      <c r="C25" s="35"/>
      <c r="D25" s="37"/>
      <c r="E25" s="37"/>
      <c r="F25" s="35"/>
      <c r="G25" s="35"/>
      <c r="H25" s="3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35"/>
      <c r="B26" s="35"/>
      <c r="C26" s="35"/>
      <c r="D26" s="37"/>
      <c r="E26" s="37"/>
      <c r="F26" s="35"/>
      <c r="G26" s="35"/>
      <c r="H26" s="3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35"/>
      <c r="B27" s="35"/>
      <c r="C27" s="35"/>
      <c r="D27" s="37"/>
      <c r="E27" s="37"/>
      <c r="F27" s="35"/>
      <c r="G27" s="35"/>
      <c r="H27" s="3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35"/>
      <c r="B28" s="35"/>
      <c r="C28" s="35"/>
      <c r="D28" s="37"/>
      <c r="E28" s="37"/>
      <c r="F28" s="35"/>
      <c r="G28" s="35"/>
      <c r="H28" s="3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35"/>
      <c r="B29" s="35"/>
      <c r="C29" s="35"/>
      <c r="D29" s="37"/>
      <c r="E29" s="37"/>
      <c r="F29" s="35"/>
      <c r="G29" s="35"/>
      <c r="H29" s="3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35"/>
      <c r="B30" s="35"/>
      <c r="C30" s="35"/>
      <c r="D30" s="37"/>
      <c r="E30" s="37"/>
      <c r="F30" s="35"/>
      <c r="G30" s="35"/>
      <c r="H30" s="3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35"/>
      <c r="B31" s="35"/>
      <c r="C31" s="35"/>
      <c r="D31" s="37"/>
      <c r="E31" s="37"/>
      <c r="F31" s="35"/>
      <c r="G31" s="35"/>
      <c r="H31" s="3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35"/>
      <c r="B32" s="35"/>
      <c r="C32" s="35"/>
      <c r="D32" s="37"/>
      <c r="E32" s="37"/>
      <c r="F32" s="35"/>
      <c r="G32" s="35"/>
      <c r="H32" s="3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35"/>
      <c r="B33" s="35"/>
      <c r="C33" s="35"/>
      <c r="D33" s="37"/>
      <c r="E33" s="37"/>
      <c r="F33" s="35"/>
      <c r="G33" s="35"/>
      <c r="H33" s="3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35"/>
      <c r="B34" s="35"/>
      <c r="C34" s="35"/>
      <c r="D34" s="37"/>
      <c r="E34" s="37"/>
      <c r="F34" s="35"/>
      <c r="G34" s="35"/>
      <c r="H34" s="3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35"/>
      <c r="B35" s="35"/>
      <c r="C35" s="35"/>
      <c r="D35" s="37"/>
      <c r="E35" s="37"/>
      <c r="F35" s="35"/>
      <c r="G35" s="35"/>
      <c r="H35" s="3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35"/>
      <c r="B36" s="35"/>
      <c r="C36" s="35"/>
      <c r="D36" s="37"/>
      <c r="E36" s="37"/>
      <c r="F36" s="35"/>
      <c r="G36" s="35"/>
      <c r="H36" s="3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35"/>
      <c r="B37" s="35"/>
      <c r="C37" s="35"/>
      <c r="D37" s="37"/>
      <c r="E37" s="37"/>
      <c r="F37" s="35"/>
      <c r="G37" s="35"/>
      <c r="H37" s="3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35"/>
      <c r="B38" s="35"/>
      <c r="C38" s="35"/>
      <c r="D38" s="37"/>
      <c r="E38" s="37"/>
      <c r="F38" s="35"/>
      <c r="G38" s="35"/>
      <c r="H38" s="3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35"/>
      <c r="B39" s="35"/>
      <c r="C39" s="35"/>
      <c r="D39" s="37"/>
      <c r="E39" s="37"/>
      <c r="F39" s="35"/>
      <c r="G39" s="35"/>
      <c r="H39" s="3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35"/>
      <c r="B40" s="35"/>
      <c r="C40" s="35"/>
      <c r="D40" s="37"/>
      <c r="E40" s="37"/>
      <c r="F40" s="35"/>
      <c r="G40" s="35"/>
      <c r="H40" s="3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35"/>
      <c r="B41" s="35"/>
      <c r="C41" s="35"/>
      <c r="D41" s="37"/>
      <c r="E41" s="37"/>
      <c r="F41" s="35"/>
      <c r="G41" s="35"/>
      <c r="H41" s="3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35"/>
      <c r="B42" s="35"/>
      <c r="C42" s="35"/>
      <c r="D42" s="37"/>
      <c r="E42" s="37"/>
      <c r="F42" s="35"/>
      <c r="G42" s="35"/>
      <c r="H42" s="3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35"/>
      <c r="B43" s="35"/>
      <c r="C43" s="35"/>
      <c r="D43" s="37"/>
      <c r="E43" s="37"/>
      <c r="F43" s="35"/>
      <c r="G43" s="35"/>
      <c r="H43" s="3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35"/>
      <c r="B44" s="35"/>
      <c r="C44" s="35"/>
      <c r="D44" s="37"/>
      <c r="E44" s="37"/>
      <c r="F44" s="35"/>
      <c r="G44" s="35"/>
      <c r="H44" s="3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35"/>
      <c r="B45" s="35"/>
      <c r="C45" s="35"/>
      <c r="D45" s="37"/>
      <c r="E45" s="37"/>
      <c r="F45" s="35"/>
      <c r="G45" s="35"/>
      <c r="H45" s="3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35"/>
      <c r="B46" s="35"/>
      <c r="C46" s="35"/>
      <c r="D46" s="37"/>
      <c r="E46" s="37"/>
      <c r="F46" s="35"/>
      <c r="G46" s="35"/>
      <c r="H46" s="3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35"/>
      <c r="B47" s="35"/>
      <c r="C47" s="35"/>
      <c r="D47" s="37"/>
      <c r="E47" s="37"/>
      <c r="F47" s="35"/>
      <c r="G47" s="35"/>
      <c r="H47" s="3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35"/>
      <c r="B48" s="35"/>
      <c r="C48" s="35"/>
      <c r="D48" s="37"/>
      <c r="E48" s="37"/>
      <c r="F48" s="35"/>
      <c r="G48" s="35"/>
      <c r="H48" s="3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35"/>
      <c r="B49" s="35"/>
      <c r="C49" s="35"/>
      <c r="D49" s="37"/>
      <c r="E49" s="37"/>
      <c r="F49" s="35"/>
      <c r="G49" s="35"/>
      <c r="H49" s="3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35"/>
      <c r="B50" s="35"/>
      <c r="C50" s="35"/>
      <c r="D50" s="37"/>
      <c r="E50" s="37"/>
      <c r="F50" s="35"/>
      <c r="G50" s="35"/>
      <c r="H50" s="3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35"/>
      <c r="B51" s="35"/>
      <c r="C51" s="35"/>
      <c r="D51" s="37"/>
      <c r="E51" s="37"/>
      <c r="F51" s="35"/>
      <c r="G51" s="35"/>
      <c r="H51" s="3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35"/>
      <c r="B52" s="35"/>
      <c r="C52" s="35"/>
      <c r="D52" s="37"/>
      <c r="E52" s="37"/>
      <c r="F52" s="35"/>
      <c r="G52" s="35"/>
      <c r="H52" s="3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35"/>
      <c r="B53" s="35"/>
      <c r="C53" s="35"/>
      <c r="D53" s="37"/>
      <c r="E53" s="37"/>
      <c r="F53" s="35"/>
      <c r="G53" s="35"/>
      <c r="H53" s="3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35"/>
      <c r="B54" s="35"/>
      <c r="C54" s="35"/>
      <c r="D54" s="37"/>
      <c r="E54" s="37"/>
      <c r="F54" s="35"/>
      <c r="G54" s="35"/>
      <c r="H54" s="3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35"/>
      <c r="B55" s="35"/>
      <c r="C55" s="35"/>
      <c r="D55" s="37"/>
      <c r="E55" s="37"/>
      <c r="F55" s="35"/>
      <c r="G55" s="35"/>
      <c r="H55" s="3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35"/>
      <c r="B56" s="35"/>
      <c r="C56" s="35"/>
      <c r="D56" s="37"/>
      <c r="E56" s="37"/>
      <c r="F56" s="35"/>
      <c r="G56" s="35"/>
      <c r="H56" s="3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35"/>
      <c r="B57" s="35"/>
      <c r="C57" s="35"/>
      <c r="D57" s="37"/>
      <c r="E57" s="37"/>
      <c r="F57" s="35"/>
      <c r="G57" s="35"/>
      <c r="H57" s="3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14" t="s">
        <v>170</v>
      </c>
      <c r="B61" s="9"/>
      <c r="C61" s="9"/>
      <c r="D61" s="9"/>
      <c r="E61" s="9"/>
      <c r="F61" s="9"/>
      <c r="G61" s="9"/>
      <c r="H61" s="1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18" t="s">
        <v>80</v>
      </c>
      <c r="B63" s="18" t="s">
        <v>171</v>
      </c>
      <c r="C63" s="18" t="s">
        <v>172</v>
      </c>
      <c r="D63" s="18" t="s">
        <v>173</v>
      </c>
      <c r="E63" s="18" t="s">
        <v>174</v>
      </c>
      <c r="F63" s="18" t="s">
        <v>175</v>
      </c>
      <c r="G63" s="18" t="s">
        <v>176</v>
      </c>
      <c r="H63" s="18" t="s">
        <v>177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11" t="s">
        <v>178</v>
      </c>
      <c r="B64" s="59"/>
      <c r="C64" s="59"/>
      <c r="D64" s="59"/>
      <c r="E64" s="59"/>
      <c r="F64" s="59"/>
      <c r="G64" s="59"/>
      <c r="H64" s="59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11" t="s">
        <v>179</v>
      </c>
      <c r="B65" s="59"/>
      <c r="C65" s="59"/>
      <c r="D65" s="59"/>
      <c r="E65" s="59"/>
      <c r="F65" s="59"/>
      <c r="G65" s="59"/>
      <c r="H65" s="59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11" t="s">
        <v>180</v>
      </c>
      <c r="B66" s="59"/>
      <c r="C66" s="59"/>
      <c r="D66" s="59"/>
      <c r="E66" s="59"/>
      <c r="F66" s="59"/>
      <c r="G66" s="59"/>
      <c r="H66" s="59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11" t="s">
        <v>181</v>
      </c>
      <c r="B67" s="59"/>
      <c r="C67" s="59"/>
      <c r="D67" s="59"/>
      <c r="E67" s="59"/>
      <c r="F67" s="59"/>
      <c r="G67" s="59"/>
      <c r="H67" s="59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14" t="s">
        <v>182</v>
      </c>
      <c r="B71" s="9"/>
      <c r="C71" s="9"/>
      <c r="D71" s="9"/>
      <c r="E71" s="9"/>
      <c r="F71" s="9"/>
      <c r="G71" s="9"/>
      <c r="H71" s="1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31" t="s">
        <v>183</v>
      </c>
      <c r="B73" s="31" t="s">
        <v>148</v>
      </c>
      <c r="C73" s="31" t="s">
        <v>184</v>
      </c>
      <c r="D73" s="31" t="s">
        <v>185</v>
      </c>
      <c r="E73" s="31" t="s">
        <v>186</v>
      </c>
      <c r="F73" s="31" t="s">
        <v>187</v>
      </c>
      <c r="G73" s="31" t="s">
        <v>188</v>
      </c>
      <c r="H73" s="31" t="s">
        <v>81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35" t="s">
        <v>189</v>
      </c>
      <c r="B74" s="35" t="s">
        <v>152</v>
      </c>
      <c r="C74" s="35">
        <v>6.0</v>
      </c>
      <c r="D74" s="35">
        <v>12.0</v>
      </c>
      <c r="E74" s="35" t="s">
        <v>190</v>
      </c>
      <c r="F74" s="35" t="s">
        <v>137</v>
      </c>
      <c r="G74" s="35" t="s">
        <v>191</v>
      </c>
      <c r="H74" s="3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35" t="s">
        <v>192</v>
      </c>
      <c r="B75" s="35" t="s">
        <v>62</v>
      </c>
      <c r="C75" s="35">
        <v>2.0</v>
      </c>
      <c r="D75" s="35">
        <v>6.0</v>
      </c>
      <c r="E75" s="35" t="s">
        <v>193</v>
      </c>
      <c r="F75" s="35" t="s">
        <v>137</v>
      </c>
      <c r="G75" s="35" t="s">
        <v>194</v>
      </c>
      <c r="H75" s="3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35"/>
      <c r="B76" s="35"/>
      <c r="C76" s="35"/>
      <c r="D76" s="35"/>
      <c r="E76" s="35"/>
      <c r="F76" s="35"/>
      <c r="G76" s="35"/>
      <c r="H76" s="3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35"/>
      <c r="B77" s="35"/>
      <c r="C77" s="35"/>
      <c r="D77" s="35"/>
      <c r="E77" s="35"/>
      <c r="F77" s="35"/>
      <c r="G77" s="35"/>
      <c r="H77" s="3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35"/>
      <c r="B78" s="35"/>
      <c r="C78" s="35"/>
      <c r="D78" s="35"/>
      <c r="E78" s="35"/>
      <c r="F78" s="35"/>
      <c r="G78" s="35"/>
      <c r="H78" s="3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35"/>
      <c r="B79" s="35"/>
      <c r="C79" s="35"/>
      <c r="D79" s="35"/>
      <c r="E79" s="35"/>
      <c r="F79" s="35"/>
      <c r="G79" s="35"/>
      <c r="H79" s="3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35"/>
      <c r="B80" s="35"/>
      <c r="C80" s="35"/>
      <c r="D80" s="35"/>
      <c r="E80" s="35"/>
      <c r="F80" s="35"/>
      <c r="G80" s="35"/>
      <c r="H80" s="3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35"/>
      <c r="B81" s="35"/>
      <c r="C81" s="35"/>
      <c r="D81" s="35"/>
      <c r="E81" s="35"/>
      <c r="F81" s="35"/>
      <c r="G81" s="35"/>
      <c r="H81" s="3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35"/>
      <c r="B82" s="35"/>
      <c r="C82" s="35"/>
      <c r="D82" s="35"/>
      <c r="E82" s="35"/>
      <c r="F82" s="35"/>
      <c r="G82" s="35"/>
      <c r="H82" s="3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35"/>
      <c r="B83" s="35"/>
      <c r="C83" s="35"/>
      <c r="D83" s="35"/>
      <c r="E83" s="35"/>
      <c r="F83" s="35"/>
      <c r="G83" s="35"/>
      <c r="H83" s="3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35"/>
      <c r="B84" s="35"/>
      <c r="C84" s="35"/>
      <c r="D84" s="35"/>
      <c r="E84" s="35"/>
      <c r="F84" s="35"/>
      <c r="G84" s="35"/>
      <c r="H84" s="3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35"/>
      <c r="B85" s="35"/>
      <c r="C85" s="35"/>
      <c r="D85" s="35"/>
      <c r="E85" s="35"/>
      <c r="F85" s="35"/>
      <c r="G85" s="35"/>
      <c r="H85" s="3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35"/>
      <c r="B86" s="35"/>
      <c r="C86" s="35"/>
      <c r="D86" s="35"/>
      <c r="E86" s="35"/>
      <c r="F86" s="35"/>
      <c r="G86" s="35"/>
      <c r="H86" s="3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35"/>
      <c r="B87" s="35"/>
      <c r="C87" s="35"/>
      <c r="D87" s="35"/>
      <c r="E87" s="35"/>
      <c r="F87" s="35"/>
      <c r="G87" s="35"/>
      <c r="H87" s="3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35"/>
      <c r="B88" s="35"/>
      <c r="C88" s="35"/>
      <c r="D88" s="35"/>
      <c r="E88" s="35"/>
      <c r="F88" s="35"/>
      <c r="G88" s="35"/>
      <c r="H88" s="3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35"/>
      <c r="B89" s="35"/>
      <c r="C89" s="35"/>
      <c r="D89" s="35"/>
      <c r="E89" s="35"/>
      <c r="F89" s="35"/>
      <c r="G89" s="35"/>
      <c r="H89" s="3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35"/>
      <c r="B90" s="35"/>
      <c r="C90" s="35"/>
      <c r="D90" s="35"/>
      <c r="E90" s="35"/>
      <c r="F90" s="35"/>
      <c r="G90" s="35"/>
      <c r="H90" s="3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35"/>
      <c r="B91" s="35"/>
      <c r="C91" s="35"/>
      <c r="D91" s="35"/>
      <c r="E91" s="35"/>
      <c r="F91" s="35"/>
      <c r="G91" s="35"/>
      <c r="H91" s="3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35"/>
      <c r="B92" s="35"/>
      <c r="C92" s="35"/>
      <c r="D92" s="35"/>
      <c r="E92" s="35"/>
      <c r="F92" s="35"/>
      <c r="G92" s="35"/>
      <c r="H92" s="3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35"/>
      <c r="B93" s="35"/>
      <c r="C93" s="35"/>
      <c r="D93" s="35"/>
      <c r="E93" s="35"/>
      <c r="F93" s="35"/>
      <c r="G93" s="35"/>
      <c r="H93" s="3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35"/>
      <c r="B94" s="35"/>
      <c r="C94" s="35"/>
      <c r="D94" s="35"/>
      <c r="E94" s="35"/>
      <c r="F94" s="35"/>
      <c r="G94" s="35"/>
      <c r="H94" s="3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35"/>
      <c r="B95" s="35"/>
      <c r="C95" s="35"/>
      <c r="D95" s="35"/>
      <c r="E95" s="35"/>
      <c r="F95" s="35"/>
      <c r="G95" s="35"/>
      <c r="H95" s="3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35"/>
      <c r="B96" s="35"/>
      <c r="C96" s="35"/>
      <c r="D96" s="35"/>
      <c r="E96" s="35"/>
      <c r="F96" s="35"/>
      <c r="G96" s="35"/>
      <c r="H96" s="3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35"/>
      <c r="B97" s="35"/>
      <c r="C97" s="35"/>
      <c r="D97" s="35"/>
      <c r="E97" s="35"/>
      <c r="F97" s="35"/>
      <c r="G97" s="35"/>
      <c r="H97" s="3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35"/>
      <c r="B98" s="35"/>
      <c r="C98" s="35"/>
      <c r="D98" s="35"/>
      <c r="E98" s="35"/>
      <c r="F98" s="35"/>
      <c r="G98" s="35"/>
      <c r="H98" s="3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35"/>
      <c r="B99" s="35"/>
      <c r="C99" s="35"/>
      <c r="D99" s="35"/>
      <c r="E99" s="35"/>
      <c r="F99" s="35"/>
      <c r="G99" s="35"/>
      <c r="H99" s="3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35"/>
      <c r="B100" s="35"/>
      <c r="C100" s="35"/>
      <c r="D100" s="35"/>
      <c r="E100" s="35"/>
      <c r="F100" s="35"/>
      <c r="G100" s="35"/>
      <c r="H100" s="3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35"/>
      <c r="B101" s="35"/>
      <c r="C101" s="35"/>
      <c r="D101" s="35"/>
      <c r="E101" s="35"/>
      <c r="F101" s="35"/>
      <c r="G101" s="35"/>
      <c r="H101" s="3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35"/>
      <c r="B102" s="35"/>
      <c r="C102" s="35"/>
      <c r="D102" s="35"/>
      <c r="E102" s="35"/>
      <c r="F102" s="35"/>
      <c r="G102" s="35"/>
      <c r="H102" s="3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35"/>
      <c r="B103" s="35"/>
      <c r="C103" s="35"/>
      <c r="D103" s="35"/>
      <c r="E103" s="35"/>
      <c r="F103" s="35"/>
      <c r="G103" s="35"/>
      <c r="H103" s="3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35"/>
      <c r="B104" s="35"/>
      <c r="C104" s="35"/>
      <c r="D104" s="35"/>
      <c r="E104" s="35"/>
      <c r="F104" s="35"/>
      <c r="G104" s="35"/>
      <c r="H104" s="3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35"/>
      <c r="B105" s="35"/>
      <c r="C105" s="35"/>
      <c r="D105" s="35"/>
      <c r="E105" s="35"/>
      <c r="F105" s="35"/>
      <c r="G105" s="35"/>
      <c r="H105" s="3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35"/>
      <c r="B106" s="35"/>
      <c r="C106" s="35"/>
      <c r="D106" s="35"/>
      <c r="E106" s="35"/>
      <c r="F106" s="35"/>
      <c r="G106" s="35"/>
      <c r="H106" s="3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35"/>
      <c r="B107" s="35"/>
      <c r="C107" s="35"/>
      <c r="D107" s="35"/>
      <c r="E107" s="35"/>
      <c r="F107" s="35"/>
      <c r="G107" s="35"/>
      <c r="H107" s="3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35"/>
      <c r="B108" s="35"/>
      <c r="C108" s="35"/>
      <c r="D108" s="35"/>
      <c r="E108" s="35"/>
      <c r="F108" s="35"/>
      <c r="G108" s="35"/>
      <c r="H108" s="3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35"/>
      <c r="B109" s="35"/>
      <c r="C109" s="35"/>
      <c r="D109" s="35"/>
      <c r="E109" s="35"/>
      <c r="F109" s="35"/>
      <c r="G109" s="35"/>
      <c r="H109" s="3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35"/>
      <c r="B110" s="35"/>
      <c r="C110" s="35"/>
      <c r="D110" s="35"/>
      <c r="E110" s="35"/>
      <c r="F110" s="35"/>
      <c r="G110" s="35"/>
      <c r="H110" s="3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35"/>
      <c r="B111" s="35"/>
      <c r="C111" s="35"/>
      <c r="D111" s="35"/>
      <c r="E111" s="35"/>
      <c r="F111" s="35"/>
      <c r="G111" s="35"/>
      <c r="H111" s="3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35"/>
      <c r="B112" s="35"/>
      <c r="C112" s="35"/>
      <c r="D112" s="35"/>
      <c r="E112" s="35"/>
      <c r="F112" s="35"/>
      <c r="G112" s="35"/>
      <c r="H112" s="3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35"/>
      <c r="B113" s="35"/>
      <c r="C113" s="35"/>
      <c r="D113" s="35"/>
      <c r="E113" s="35"/>
      <c r="F113" s="35"/>
      <c r="G113" s="35"/>
      <c r="H113" s="3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35"/>
      <c r="B114" s="35"/>
      <c r="C114" s="35"/>
      <c r="D114" s="35"/>
      <c r="E114" s="35"/>
      <c r="F114" s="35"/>
      <c r="G114" s="35"/>
      <c r="H114" s="3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35"/>
      <c r="B115" s="35"/>
      <c r="C115" s="35"/>
      <c r="D115" s="35"/>
      <c r="E115" s="35"/>
      <c r="F115" s="35"/>
      <c r="G115" s="35"/>
      <c r="H115" s="3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35"/>
      <c r="B116" s="35"/>
      <c r="C116" s="35"/>
      <c r="D116" s="35"/>
      <c r="E116" s="35"/>
      <c r="F116" s="35"/>
      <c r="G116" s="35"/>
      <c r="H116" s="3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35"/>
      <c r="B117" s="35"/>
      <c r="C117" s="35"/>
      <c r="D117" s="35"/>
      <c r="E117" s="35"/>
      <c r="F117" s="35"/>
      <c r="G117" s="35"/>
      <c r="H117" s="3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35"/>
      <c r="B118" s="35"/>
      <c r="C118" s="35"/>
      <c r="D118" s="35"/>
      <c r="E118" s="35"/>
      <c r="F118" s="35"/>
      <c r="G118" s="35"/>
      <c r="H118" s="3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35"/>
      <c r="B119" s="35"/>
      <c r="C119" s="35"/>
      <c r="D119" s="35"/>
      <c r="E119" s="35"/>
      <c r="F119" s="35"/>
      <c r="G119" s="35"/>
      <c r="H119" s="3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35"/>
      <c r="B120" s="35"/>
      <c r="C120" s="35"/>
      <c r="D120" s="35"/>
      <c r="E120" s="35"/>
      <c r="F120" s="35"/>
      <c r="G120" s="35"/>
      <c r="H120" s="3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35"/>
      <c r="B121" s="35"/>
      <c r="C121" s="35"/>
      <c r="D121" s="35"/>
      <c r="E121" s="35"/>
      <c r="F121" s="35"/>
      <c r="G121" s="35"/>
      <c r="H121" s="3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35"/>
      <c r="B122" s="35"/>
      <c r="C122" s="35"/>
      <c r="D122" s="35"/>
      <c r="E122" s="35"/>
      <c r="F122" s="35"/>
      <c r="G122" s="35"/>
      <c r="H122" s="3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35"/>
      <c r="B123" s="35"/>
      <c r="C123" s="35"/>
      <c r="D123" s="35"/>
      <c r="E123" s="35"/>
      <c r="F123" s="35"/>
      <c r="G123" s="35"/>
      <c r="H123" s="3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H2"/>
    <mergeCell ref="A3:H3"/>
    <mergeCell ref="A5:H5"/>
    <mergeCell ref="A61:H61"/>
    <mergeCell ref="A71:H71"/>
  </mergeCells>
  <conditionalFormatting sqref="F74:F123">
    <cfRule type="expression" dxfId="6" priority="1">
      <formula>$F74="Yes"</formula>
    </cfRule>
  </conditionalFormatting>
  <dataValidations>
    <dataValidation type="list" allowBlank="1" sqref="F8:F57">
      <formula1>SETTINGS!$B$6:$B$10</formula1>
    </dataValidation>
    <dataValidation type="list" allowBlank="1" sqref="F74:F123">
      <formula1>"Yes,No"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4.0"/>
    <col customWidth="1" min="3" max="4" width="16.0"/>
    <col customWidth="1" min="5" max="6" width="18.0"/>
    <col customWidth="1" min="7" max="8" width="28.0"/>
    <col customWidth="1" min="9" max="26" width="8.88"/>
  </cols>
  <sheetData>
    <row r="1" ht="13.5" customHeight="1">
      <c r="A1" s="1" t="s">
        <v>195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" t="s">
        <v>196</v>
      </c>
      <c r="B3" s="9"/>
      <c r="C3" s="9"/>
      <c r="D3" s="9"/>
      <c r="E3" s="9"/>
      <c r="F3" s="9"/>
      <c r="G3" s="9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4" t="s">
        <v>197</v>
      </c>
      <c r="B5" s="9"/>
      <c r="C5" s="9"/>
      <c r="D5" s="9"/>
      <c r="E5" s="9"/>
      <c r="F5" s="9"/>
      <c r="G5" s="9"/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31" t="s">
        <v>198</v>
      </c>
      <c r="B7" s="31" t="s">
        <v>199</v>
      </c>
      <c r="C7" s="31" t="s">
        <v>200</v>
      </c>
      <c r="D7" s="31" t="s">
        <v>201</v>
      </c>
      <c r="E7" s="31" t="s">
        <v>202</v>
      </c>
      <c r="F7" s="31" t="s">
        <v>61</v>
      </c>
      <c r="G7" s="31" t="s">
        <v>203</v>
      </c>
      <c r="H7" s="31" t="s">
        <v>204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35" t="s">
        <v>64</v>
      </c>
      <c r="B8" s="35" t="s">
        <v>206</v>
      </c>
      <c r="C8" s="60">
        <v>43008.0</v>
      </c>
      <c r="D8" s="35"/>
      <c r="E8" s="35" t="s">
        <v>208</v>
      </c>
      <c r="F8" s="35" t="s">
        <v>209</v>
      </c>
      <c r="G8" s="35" t="s">
        <v>210</v>
      </c>
      <c r="H8" s="3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35" t="s">
        <v>211</v>
      </c>
      <c r="B9" s="35" t="s">
        <v>212</v>
      </c>
      <c r="C9" s="60">
        <v>45028.0</v>
      </c>
      <c r="D9" s="35"/>
      <c r="E9" s="35" t="s">
        <v>215</v>
      </c>
      <c r="F9" s="35" t="s">
        <v>217</v>
      </c>
      <c r="G9" s="35" t="s">
        <v>218</v>
      </c>
      <c r="H9" s="3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35"/>
      <c r="B10" s="35"/>
      <c r="C10" s="60"/>
      <c r="D10" s="35"/>
      <c r="E10" s="35"/>
      <c r="F10" s="35"/>
      <c r="G10" s="35"/>
      <c r="H10" s="3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35"/>
      <c r="B11" s="35"/>
      <c r="C11" s="60"/>
      <c r="D11" s="35"/>
      <c r="E11" s="35"/>
      <c r="F11" s="35"/>
      <c r="G11" s="35"/>
      <c r="H11" s="3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35"/>
      <c r="B12" s="35"/>
      <c r="C12" s="60"/>
      <c r="D12" s="35"/>
      <c r="E12" s="35"/>
      <c r="F12" s="35"/>
      <c r="G12" s="35"/>
      <c r="H12" s="3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35"/>
      <c r="B13" s="35"/>
      <c r="C13" s="60"/>
      <c r="D13" s="35"/>
      <c r="E13" s="35"/>
      <c r="F13" s="35"/>
      <c r="G13" s="35"/>
      <c r="H13" s="3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35"/>
      <c r="B14" s="35"/>
      <c r="C14" s="60"/>
      <c r="D14" s="35"/>
      <c r="E14" s="35"/>
      <c r="F14" s="35"/>
      <c r="G14" s="35"/>
      <c r="H14" s="3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35"/>
      <c r="B15" s="35"/>
      <c r="C15" s="60"/>
      <c r="D15" s="35"/>
      <c r="E15" s="35"/>
      <c r="F15" s="35"/>
      <c r="G15" s="35"/>
      <c r="H15" s="3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35"/>
      <c r="B16" s="35"/>
      <c r="C16" s="60"/>
      <c r="D16" s="35"/>
      <c r="E16" s="35"/>
      <c r="F16" s="35"/>
      <c r="G16" s="35"/>
      <c r="H16" s="3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35"/>
      <c r="B17" s="35"/>
      <c r="C17" s="60"/>
      <c r="D17" s="35"/>
      <c r="E17" s="35"/>
      <c r="F17" s="35"/>
      <c r="G17" s="35"/>
      <c r="H17" s="3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35"/>
      <c r="B18" s="35"/>
      <c r="C18" s="60"/>
      <c r="D18" s="35"/>
      <c r="E18" s="35"/>
      <c r="F18" s="35"/>
      <c r="G18" s="35"/>
      <c r="H18" s="3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35"/>
      <c r="B19" s="35"/>
      <c r="C19" s="60"/>
      <c r="D19" s="35"/>
      <c r="E19" s="35"/>
      <c r="F19" s="35"/>
      <c r="G19" s="35"/>
      <c r="H19" s="3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35"/>
      <c r="B20" s="35"/>
      <c r="C20" s="60"/>
      <c r="D20" s="35"/>
      <c r="E20" s="35"/>
      <c r="F20" s="35"/>
      <c r="G20" s="35"/>
      <c r="H20" s="3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35"/>
      <c r="B21" s="35"/>
      <c r="C21" s="60"/>
      <c r="D21" s="35"/>
      <c r="E21" s="35"/>
      <c r="F21" s="35"/>
      <c r="G21" s="35"/>
      <c r="H21" s="3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35"/>
      <c r="B22" s="35"/>
      <c r="C22" s="60"/>
      <c r="D22" s="35"/>
      <c r="E22" s="35"/>
      <c r="F22" s="35"/>
      <c r="G22" s="35"/>
      <c r="H22" s="3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35"/>
      <c r="B23" s="35"/>
      <c r="C23" s="60"/>
      <c r="D23" s="35"/>
      <c r="E23" s="35"/>
      <c r="F23" s="35"/>
      <c r="G23" s="35"/>
      <c r="H23" s="3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35"/>
      <c r="B24" s="35"/>
      <c r="C24" s="60"/>
      <c r="D24" s="35"/>
      <c r="E24" s="35"/>
      <c r="F24" s="35"/>
      <c r="G24" s="35"/>
      <c r="H24" s="3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35"/>
      <c r="B25" s="35"/>
      <c r="C25" s="60"/>
      <c r="D25" s="35"/>
      <c r="E25" s="35"/>
      <c r="F25" s="35"/>
      <c r="G25" s="35"/>
      <c r="H25" s="3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35"/>
      <c r="B26" s="35"/>
      <c r="C26" s="60"/>
      <c r="D26" s="35"/>
      <c r="E26" s="35"/>
      <c r="F26" s="35"/>
      <c r="G26" s="35"/>
      <c r="H26" s="3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35"/>
      <c r="B27" s="35"/>
      <c r="C27" s="60"/>
      <c r="D27" s="35"/>
      <c r="E27" s="35"/>
      <c r="F27" s="35"/>
      <c r="G27" s="35"/>
      <c r="H27" s="3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35"/>
      <c r="B28" s="35"/>
      <c r="C28" s="60"/>
      <c r="D28" s="35"/>
      <c r="E28" s="35"/>
      <c r="F28" s="35"/>
      <c r="G28" s="35"/>
      <c r="H28" s="3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35"/>
      <c r="B29" s="35"/>
      <c r="C29" s="60"/>
      <c r="D29" s="35"/>
      <c r="E29" s="35"/>
      <c r="F29" s="35"/>
      <c r="G29" s="35"/>
      <c r="H29" s="3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35"/>
      <c r="B30" s="35"/>
      <c r="C30" s="60"/>
      <c r="D30" s="35"/>
      <c r="E30" s="35"/>
      <c r="F30" s="35"/>
      <c r="G30" s="35"/>
      <c r="H30" s="3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35"/>
      <c r="B31" s="35"/>
      <c r="C31" s="60"/>
      <c r="D31" s="35"/>
      <c r="E31" s="35"/>
      <c r="F31" s="35"/>
      <c r="G31" s="35"/>
      <c r="H31" s="3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35"/>
      <c r="B32" s="35"/>
      <c r="C32" s="60"/>
      <c r="D32" s="35"/>
      <c r="E32" s="35"/>
      <c r="F32" s="35"/>
      <c r="G32" s="35"/>
      <c r="H32" s="3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35"/>
      <c r="B33" s="35"/>
      <c r="C33" s="60"/>
      <c r="D33" s="35"/>
      <c r="E33" s="35"/>
      <c r="F33" s="35"/>
      <c r="G33" s="35"/>
      <c r="H33" s="3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35"/>
      <c r="B34" s="35"/>
      <c r="C34" s="60"/>
      <c r="D34" s="35"/>
      <c r="E34" s="35"/>
      <c r="F34" s="35"/>
      <c r="G34" s="35"/>
      <c r="H34" s="3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35"/>
      <c r="B35" s="35"/>
      <c r="C35" s="60"/>
      <c r="D35" s="35"/>
      <c r="E35" s="35"/>
      <c r="F35" s="35"/>
      <c r="G35" s="35"/>
      <c r="H35" s="3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35"/>
      <c r="B36" s="35"/>
      <c r="C36" s="60"/>
      <c r="D36" s="35"/>
      <c r="E36" s="35"/>
      <c r="F36" s="35"/>
      <c r="G36" s="35"/>
      <c r="H36" s="3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35"/>
      <c r="B37" s="35"/>
      <c r="C37" s="60"/>
      <c r="D37" s="35"/>
      <c r="E37" s="35"/>
      <c r="F37" s="35"/>
      <c r="G37" s="35"/>
      <c r="H37" s="3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35"/>
      <c r="B38" s="35"/>
      <c r="C38" s="60"/>
      <c r="D38" s="35"/>
      <c r="E38" s="35"/>
      <c r="F38" s="35"/>
      <c r="G38" s="35"/>
      <c r="H38" s="3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35"/>
      <c r="B39" s="35"/>
      <c r="C39" s="60"/>
      <c r="D39" s="35"/>
      <c r="E39" s="35"/>
      <c r="F39" s="35"/>
      <c r="G39" s="35"/>
      <c r="H39" s="3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35"/>
      <c r="B40" s="35"/>
      <c r="C40" s="60"/>
      <c r="D40" s="35"/>
      <c r="E40" s="35"/>
      <c r="F40" s="35"/>
      <c r="G40" s="35"/>
      <c r="H40" s="3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35"/>
      <c r="B41" s="35"/>
      <c r="C41" s="60"/>
      <c r="D41" s="35"/>
      <c r="E41" s="35"/>
      <c r="F41" s="35"/>
      <c r="G41" s="35"/>
      <c r="H41" s="3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35"/>
      <c r="B42" s="35"/>
      <c r="C42" s="60"/>
      <c r="D42" s="35"/>
      <c r="E42" s="35"/>
      <c r="F42" s="35"/>
      <c r="G42" s="35"/>
      <c r="H42" s="3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35"/>
      <c r="B43" s="35"/>
      <c r="C43" s="60"/>
      <c r="D43" s="35"/>
      <c r="E43" s="35"/>
      <c r="F43" s="35"/>
      <c r="G43" s="35"/>
      <c r="H43" s="3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35"/>
      <c r="B44" s="35"/>
      <c r="C44" s="60"/>
      <c r="D44" s="35"/>
      <c r="E44" s="35"/>
      <c r="F44" s="35"/>
      <c r="G44" s="35"/>
      <c r="H44" s="3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35"/>
      <c r="B45" s="35"/>
      <c r="C45" s="60"/>
      <c r="D45" s="35"/>
      <c r="E45" s="35"/>
      <c r="F45" s="35"/>
      <c r="G45" s="35"/>
      <c r="H45" s="3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35"/>
      <c r="B46" s="35"/>
      <c r="C46" s="60"/>
      <c r="D46" s="35"/>
      <c r="E46" s="35"/>
      <c r="F46" s="35"/>
      <c r="G46" s="35"/>
      <c r="H46" s="3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35"/>
      <c r="B47" s="35"/>
      <c r="C47" s="60"/>
      <c r="D47" s="35"/>
      <c r="E47" s="35"/>
      <c r="F47" s="35"/>
      <c r="G47" s="35"/>
      <c r="H47" s="3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35"/>
      <c r="B48" s="35"/>
      <c r="C48" s="60"/>
      <c r="D48" s="35"/>
      <c r="E48" s="35"/>
      <c r="F48" s="35"/>
      <c r="G48" s="35"/>
      <c r="H48" s="3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35"/>
      <c r="B49" s="35"/>
      <c r="C49" s="60"/>
      <c r="D49" s="35"/>
      <c r="E49" s="35"/>
      <c r="F49" s="35"/>
      <c r="G49" s="35"/>
      <c r="H49" s="3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35"/>
      <c r="B50" s="35"/>
      <c r="C50" s="60"/>
      <c r="D50" s="35"/>
      <c r="E50" s="35"/>
      <c r="F50" s="35"/>
      <c r="G50" s="35"/>
      <c r="H50" s="3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35"/>
      <c r="B51" s="35"/>
      <c r="C51" s="60"/>
      <c r="D51" s="35"/>
      <c r="E51" s="35"/>
      <c r="F51" s="35"/>
      <c r="G51" s="35"/>
      <c r="H51" s="3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35"/>
      <c r="B52" s="35"/>
      <c r="C52" s="60"/>
      <c r="D52" s="35"/>
      <c r="E52" s="35"/>
      <c r="F52" s="35"/>
      <c r="G52" s="35"/>
      <c r="H52" s="3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35"/>
      <c r="B53" s="35"/>
      <c r="C53" s="60"/>
      <c r="D53" s="35"/>
      <c r="E53" s="35"/>
      <c r="F53" s="35"/>
      <c r="G53" s="35"/>
      <c r="H53" s="3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35"/>
      <c r="B54" s="35"/>
      <c r="C54" s="60"/>
      <c r="D54" s="35"/>
      <c r="E54" s="35"/>
      <c r="F54" s="35"/>
      <c r="G54" s="35"/>
      <c r="H54" s="3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35"/>
      <c r="B55" s="35"/>
      <c r="C55" s="60"/>
      <c r="D55" s="35"/>
      <c r="E55" s="35"/>
      <c r="F55" s="35"/>
      <c r="G55" s="35"/>
      <c r="H55" s="3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35"/>
      <c r="B56" s="35"/>
      <c r="C56" s="60"/>
      <c r="D56" s="35"/>
      <c r="E56" s="35"/>
      <c r="F56" s="35"/>
      <c r="G56" s="35"/>
      <c r="H56" s="3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35"/>
      <c r="B57" s="35"/>
      <c r="C57" s="60"/>
      <c r="D57" s="35"/>
      <c r="E57" s="35"/>
      <c r="F57" s="35"/>
      <c r="G57" s="35"/>
      <c r="H57" s="3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14" t="s">
        <v>231</v>
      </c>
      <c r="B61" s="9"/>
      <c r="C61" s="9"/>
      <c r="D61" s="9"/>
      <c r="E61" s="9"/>
      <c r="F61" s="9"/>
      <c r="G61" s="9"/>
      <c r="H61" s="1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31" t="s">
        <v>198</v>
      </c>
      <c r="B63" s="31" t="s">
        <v>45</v>
      </c>
      <c r="C63" s="31" t="s">
        <v>47</v>
      </c>
      <c r="D63" s="31" t="s">
        <v>48</v>
      </c>
      <c r="E63" s="31" t="s">
        <v>50</v>
      </c>
      <c r="F63" s="31" t="s">
        <v>232</v>
      </c>
      <c r="G63" s="31" t="s">
        <v>233</v>
      </c>
      <c r="H63" s="31" t="s">
        <v>81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35" t="s">
        <v>64</v>
      </c>
      <c r="B64" s="35" t="s">
        <v>71</v>
      </c>
      <c r="C64" s="37">
        <v>46289.0</v>
      </c>
      <c r="D64" s="35" t="s">
        <v>72</v>
      </c>
      <c r="E64" s="35" t="s">
        <v>70</v>
      </c>
      <c r="F64" s="35" t="s">
        <v>73</v>
      </c>
      <c r="G64" s="35" t="s">
        <v>234</v>
      </c>
      <c r="H64" s="3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35" t="s">
        <v>211</v>
      </c>
      <c r="B65" s="35" t="s">
        <v>235</v>
      </c>
      <c r="C65" s="37">
        <v>46297.0</v>
      </c>
      <c r="D65" s="35" t="s">
        <v>236</v>
      </c>
      <c r="E65" s="35" t="s">
        <v>70</v>
      </c>
      <c r="F65" s="35" t="s">
        <v>212</v>
      </c>
      <c r="G65" s="35"/>
      <c r="H65" s="3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35" t="s">
        <v>58</v>
      </c>
      <c r="B66" s="35" t="s">
        <v>237</v>
      </c>
      <c r="C66" s="37">
        <v>46311.0</v>
      </c>
      <c r="D66" s="35" t="s">
        <v>238</v>
      </c>
      <c r="E66" s="35" t="s">
        <v>61</v>
      </c>
      <c r="F66" s="35" t="s">
        <v>239</v>
      </c>
      <c r="G66" s="35"/>
      <c r="H66" s="3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35"/>
      <c r="B67" s="35"/>
      <c r="C67" s="37"/>
      <c r="D67" s="35"/>
      <c r="E67" s="35"/>
      <c r="F67" s="35"/>
      <c r="G67" s="35"/>
      <c r="H67" s="3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35"/>
      <c r="B68" s="35"/>
      <c r="C68" s="37"/>
      <c r="D68" s="35"/>
      <c r="E68" s="35"/>
      <c r="F68" s="35"/>
      <c r="G68" s="35"/>
      <c r="H68" s="3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35"/>
      <c r="B69" s="35"/>
      <c r="C69" s="37"/>
      <c r="D69" s="35"/>
      <c r="E69" s="35"/>
      <c r="F69" s="35"/>
      <c r="G69" s="35"/>
      <c r="H69" s="3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35"/>
      <c r="B70" s="35"/>
      <c r="C70" s="37"/>
      <c r="D70" s="35"/>
      <c r="E70" s="35"/>
      <c r="F70" s="35"/>
      <c r="G70" s="35"/>
      <c r="H70" s="3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35"/>
      <c r="B71" s="35"/>
      <c r="C71" s="37"/>
      <c r="D71" s="35"/>
      <c r="E71" s="35"/>
      <c r="F71" s="35"/>
      <c r="G71" s="35"/>
      <c r="H71" s="3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35"/>
      <c r="B72" s="35"/>
      <c r="C72" s="37"/>
      <c r="D72" s="35"/>
      <c r="E72" s="35"/>
      <c r="F72" s="35"/>
      <c r="G72" s="35"/>
      <c r="H72" s="3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35"/>
      <c r="B73" s="35"/>
      <c r="C73" s="37"/>
      <c r="D73" s="35"/>
      <c r="E73" s="35"/>
      <c r="F73" s="35"/>
      <c r="G73" s="35"/>
      <c r="H73" s="3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35"/>
      <c r="B74" s="35"/>
      <c r="C74" s="37"/>
      <c r="D74" s="35"/>
      <c r="E74" s="35"/>
      <c r="F74" s="35"/>
      <c r="G74" s="35"/>
      <c r="H74" s="3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35"/>
      <c r="B75" s="35"/>
      <c r="C75" s="37"/>
      <c r="D75" s="35"/>
      <c r="E75" s="35"/>
      <c r="F75" s="35"/>
      <c r="G75" s="35"/>
      <c r="H75" s="3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35"/>
      <c r="B76" s="35"/>
      <c r="C76" s="37"/>
      <c r="D76" s="35"/>
      <c r="E76" s="35"/>
      <c r="F76" s="35"/>
      <c r="G76" s="35"/>
      <c r="H76" s="3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35"/>
      <c r="B77" s="35"/>
      <c r="C77" s="37"/>
      <c r="D77" s="35"/>
      <c r="E77" s="35"/>
      <c r="F77" s="35"/>
      <c r="G77" s="35"/>
      <c r="H77" s="3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35"/>
      <c r="B78" s="35"/>
      <c r="C78" s="37"/>
      <c r="D78" s="35"/>
      <c r="E78" s="35"/>
      <c r="F78" s="35"/>
      <c r="G78" s="35"/>
      <c r="H78" s="3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35"/>
      <c r="B79" s="35"/>
      <c r="C79" s="37"/>
      <c r="D79" s="35"/>
      <c r="E79" s="35"/>
      <c r="F79" s="35"/>
      <c r="G79" s="35"/>
      <c r="H79" s="3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35"/>
      <c r="B80" s="35"/>
      <c r="C80" s="37"/>
      <c r="D80" s="35"/>
      <c r="E80" s="35"/>
      <c r="F80" s="35"/>
      <c r="G80" s="35"/>
      <c r="H80" s="3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35"/>
      <c r="B81" s="35"/>
      <c r="C81" s="37"/>
      <c r="D81" s="35"/>
      <c r="E81" s="35"/>
      <c r="F81" s="35"/>
      <c r="G81" s="35"/>
      <c r="H81" s="3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35"/>
      <c r="B82" s="35"/>
      <c r="C82" s="37"/>
      <c r="D82" s="35"/>
      <c r="E82" s="35"/>
      <c r="F82" s="35"/>
      <c r="G82" s="35"/>
      <c r="H82" s="3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35"/>
      <c r="B83" s="35"/>
      <c r="C83" s="37"/>
      <c r="D83" s="35"/>
      <c r="E83" s="35"/>
      <c r="F83" s="35"/>
      <c r="G83" s="35"/>
      <c r="H83" s="3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35"/>
      <c r="B84" s="35"/>
      <c r="C84" s="37"/>
      <c r="D84" s="35"/>
      <c r="E84" s="35"/>
      <c r="F84" s="35"/>
      <c r="G84" s="35"/>
      <c r="H84" s="3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35"/>
      <c r="B85" s="35"/>
      <c r="C85" s="37"/>
      <c r="D85" s="35"/>
      <c r="E85" s="35"/>
      <c r="F85" s="35"/>
      <c r="G85" s="35"/>
      <c r="H85" s="3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35"/>
      <c r="B86" s="35"/>
      <c r="C86" s="37"/>
      <c r="D86" s="35"/>
      <c r="E86" s="35"/>
      <c r="F86" s="35"/>
      <c r="G86" s="35"/>
      <c r="H86" s="3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35"/>
      <c r="B87" s="35"/>
      <c r="C87" s="37"/>
      <c r="D87" s="35"/>
      <c r="E87" s="35"/>
      <c r="F87" s="35"/>
      <c r="G87" s="35"/>
      <c r="H87" s="3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35"/>
      <c r="B88" s="35"/>
      <c r="C88" s="37"/>
      <c r="D88" s="35"/>
      <c r="E88" s="35"/>
      <c r="F88" s="35"/>
      <c r="G88" s="35"/>
      <c r="H88" s="3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35"/>
      <c r="B89" s="35"/>
      <c r="C89" s="37"/>
      <c r="D89" s="35"/>
      <c r="E89" s="35"/>
      <c r="F89" s="35"/>
      <c r="G89" s="35"/>
      <c r="H89" s="3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35"/>
      <c r="B90" s="35"/>
      <c r="C90" s="37"/>
      <c r="D90" s="35"/>
      <c r="E90" s="35"/>
      <c r="F90" s="35"/>
      <c r="G90" s="35"/>
      <c r="H90" s="3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35"/>
      <c r="B91" s="35"/>
      <c r="C91" s="37"/>
      <c r="D91" s="35"/>
      <c r="E91" s="35"/>
      <c r="F91" s="35"/>
      <c r="G91" s="35"/>
      <c r="H91" s="3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35"/>
      <c r="B92" s="35"/>
      <c r="C92" s="37"/>
      <c r="D92" s="35"/>
      <c r="E92" s="35"/>
      <c r="F92" s="35"/>
      <c r="G92" s="35"/>
      <c r="H92" s="3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35"/>
      <c r="B93" s="35"/>
      <c r="C93" s="37"/>
      <c r="D93" s="35"/>
      <c r="E93" s="35"/>
      <c r="F93" s="35"/>
      <c r="G93" s="35"/>
      <c r="H93" s="3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35"/>
      <c r="B94" s="35"/>
      <c r="C94" s="37"/>
      <c r="D94" s="35"/>
      <c r="E94" s="35"/>
      <c r="F94" s="35"/>
      <c r="G94" s="35"/>
      <c r="H94" s="3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35"/>
      <c r="B95" s="35"/>
      <c r="C95" s="37"/>
      <c r="D95" s="35"/>
      <c r="E95" s="35"/>
      <c r="F95" s="35"/>
      <c r="G95" s="35"/>
      <c r="H95" s="3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35"/>
      <c r="B96" s="35"/>
      <c r="C96" s="37"/>
      <c r="D96" s="35"/>
      <c r="E96" s="35"/>
      <c r="F96" s="35"/>
      <c r="G96" s="35"/>
      <c r="H96" s="3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35"/>
      <c r="B97" s="35"/>
      <c r="C97" s="37"/>
      <c r="D97" s="35"/>
      <c r="E97" s="35"/>
      <c r="F97" s="35"/>
      <c r="G97" s="35"/>
      <c r="H97" s="3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35"/>
      <c r="B98" s="35"/>
      <c r="C98" s="37"/>
      <c r="D98" s="35"/>
      <c r="E98" s="35"/>
      <c r="F98" s="35"/>
      <c r="G98" s="35"/>
      <c r="H98" s="3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35"/>
      <c r="B99" s="35"/>
      <c r="C99" s="37"/>
      <c r="D99" s="35"/>
      <c r="E99" s="35"/>
      <c r="F99" s="35"/>
      <c r="G99" s="35"/>
      <c r="H99" s="3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35"/>
      <c r="B100" s="35"/>
      <c r="C100" s="37"/>
      <c r="D100" s="35"/>
      <c r="E100" s="35"/>
      <c r="F100" s="35"/>
      <c r="G100" s="35"/>
      <c r="H100" s="3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35"/>
      <c r="B101" s="35"/>
      <c r="C101" s="37"/>
      <c r="D101" s="35"/>
      <c r="E101" s="35"/>
      <c r="F101" s="35"/>
      <c r="G101" s="35"/>
      <c r="H101" s="3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35"/>
      <c r="B102" s="35"/>
      <c r="C102" s="37"/>
      <c r="D102" s="35"/>
      <c r="E102" s="35"/>
      <c r="F102" s="35"/>
      <c r="G102" s="35"/>
      <c r="H102" s="3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35"/>
      <c r="B103" s="35"/>
      <c r="C103" s="37"/>
      <c r="D103" s="35"/>
      <c r="E103" s="35"/>
      <c r="F103" s="35"/>
      <c r="G103" s="35"/>
      <c r="H103" s="3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35"/>
      <c r="B104" s="35"/>
      <c r="C104" s="37"/>
      <c r="D104" s="35"/>
      <c r="E104" s="35"/>
      <c r="F104" s="35"/>
      <c r="G104" s="35"/>
      <c r="H104" s="3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35"/>
      <c r="B105" s="35"/>
      <c r="C105" s="37"/>
      <c r="D105" s="35"/>
      <c r="E105" s="35"/>
      <c r="F105" s="35"/>
      <c r="G105" s="35"/>
      <c r="H105" s="3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35"/>
      <c r="B106" s="35"/>
      <c r="C106" s="37"/>
      <c r="D106" s="35"/>
      <c r="E106" s="35"/>
      <c r="F106" s="35"/>
      <c r="G106" s="35"/>
      <c r="H106" s="3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35"/>
      <c r="B107" s="35"/>
      <c r="C107" s="37"/>
      <c r="D107" s="35"/>
      <c r="E107" s="35"/>
      <c r="F107" s="35"/>
      <c r="G107" s="35"/>
      <c r="H107" s="3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35"/>
      <c r="B108" s="35"/>
      <c r="C108" s="37"/>
      <c r="D108" s="35"/>
      <c r="E108" s="35"/>
      <c r="F108" s="35"/>
      <c r="G108" s="35"/>
      <c r="H108" s="3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35"/>
      <c r="B109" s="35"/>
      <c r="C109" s="37"/>
      <c r="D109" s="35"/>
      <c r="E109" s="35"/>
      <c r="F109" s="35"/>
      <c r="G109" s="35"/>
      <c r="H109" s="3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35"/>
      <c r="B110" s="35"/>
      <c r="C110" s="37"/>
      <c r="D110" s="35"/>
      <c r="E110" s="35"/>
      <c r="F110" s="35"/>
      <c r="G110" s="35"/>
      <c r="H110" s="3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35"/>
      <c r="B111" s="35"/>
      <c r="C111" s="37"/>
      <c r="D111" s="35"/>
      <c r="E111" s="35"/>
      <c r="F111" s="35"/>
      <c r="G111" s="35"/>
      <c r="H111" s="3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35"/>
      <c r="B112" s="35"/>
      <c r="C112" s="37"/>
      <c r="D112" s="35"/>
      <c r="E112" s="35"/>
      <c r="F112" s="35"/>
      <c r="G112" s="35"/>
      <c r="H112" s="3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35"/>
      <c r="B113" s="35"/>
      <c r="C113" s="37"/>
      <c r="D113" s="35"/>
      <c r="E113" s="35"/>
      <c r="F113" s="35"/>
      <c r="G113" s="35"/>
      <c r="H113" s="3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H2"/>
    <mergeCell ref="A3:H3"/>
    <mergeCell ref="A5:H5"/>
    <mergeCell ref="A61:H61"/>
  </mergeCells>
  <dataValidations>
    <dataValidation type="list" allowBlank="1" sqref="E64:E113">
      <formula1>SETTINGS!$D$6:$D$12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6.0"/>
    <col customWidth="1" min="3" max="3" width="30.0"/>
    <col customWidth="1" min="4" max="4" width="14.0"/>
    <col customWidth="1" min="5" max="5" width="12.0"/>
    <col customWidth="1" min="6" max="6" width="16.0"/>
    <col customWidth="1" min="7" max="8" width="28.0"/>
    <col customWidth="1" min="9" max="9" width="12.0"/>
    <col customWidth="1" min="10" max="26" width="8.88"/>
  </cols>
  <sheetData>
    <row r="1" ht="13.5" customHeight="1">
      <c r="A1" s="1" t="s">
        <v>205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B2" s="6"/>
      <c r="C2" s="6"/>
      <c r="D2" s="6"/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" t="s">
        <v>207</v>
      </c>
      <c r="B3" s="9"/>
      <c r="C3" s="9"/>
      <c r="D3" s="9"/>
      <c r="E3" s="9"/>
      <c r="F3" s="9"/>
      <c r="G3" s="9"/>
      <c r="H3" s="9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31" t="s">
        <v>93</v>
      </c>
      <c r="B5" s="31" t="s">
        <v>15</v>
      </c>
      <c r="C5" s="31" t="s">
        <v>213</v>
      </c>
      <c r="D5" s="31" t="s">
        <v>214</v>
      </c>
      <c r="E5" s="31" t="s">
        <v>95</v>
      </c>
      <c r="F5" s="31" t="s">
        <v>18</v>
      </c>
      <c r="G5" s="31" t="s">
        <v>216</v>
      </c>
      <c r="H5" s="31" t="s">
        <v>96</v>
      </c>
      <c r="I5" s="31" t="s">
        <v>134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35" t="s">
        <v>219</v>
      </c>
      <c r="B6" s="35" t="s">
        <v>118</v>
      </c>
      <c r="C6" s="35" t="s">
        <v>220</v>
      </c>
      <c r="D6" s="37">
        <v>46568.0</v>
      </c>
      <c r="E6" s="61">
        <v>0.32</v>
      </c>
      <c r="F6" s="35" t="s">
        <v>127</v>
      </c>
      <c r="G6" s="35" t="s">
        <v>221</v>
      </c>
      <c r="H6" s="35" t="s">
        <v>222</v>
      </c>
      <c r="I6" s="39">
        <f t="shared" ref="I6:I105" si="1">IF(OR(A6="",F6="Complete"),999999,MAX(0,D6-TODAY())+ROW()/100000)</f>
        <v>280.00006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35" t="s">
        <v>223</v>
      </c>
      <c r="B7" s="35" t="s">
        <v>62</v>
      </c>
      <c r="C7" s="35" t="s">
        <v>224</v>
      </c>
      <c r="D7" s="37">
        <v>46387.0</v>
      </c>
      <c r="E7" s="61">
        <v>0.45</v>
      </c>
      <c r="F7" s="35" t="s">
        <v>127</v>
      </c>
      <c r="G7" s="35" t="s">
        <v>225</v>
      </c>
      <c r="H7" s="35" t="s">
        <v>226</v>
      </c>
      <c r="I7" s="39">
        <f t="shared" si="1"/>
        <v>99.00007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35" t="s">
        <v>227</v>
      </c>
      <c r="B8" s="35" t="s">
        <v>76</v>
      </c>
      <c r="C8" s="35" t="s">
        <v>228</v>
      </c>
      <c r="D8" s="37">
        <v>46387.0</v>
      </c>
      <c r="E8" s="61">
        <v>0.5</v>
      </c>
      <c r="F8" s="35" t="s">
        <v>127</v>
      </c>
      <c r="G8" s="35" t="s">
        <v>229</v>
      </c>
      <c r="H8" s="35" t="s">
        <v>230</v>
      </c>
      <c r="I8" s="39">
        <f t="shared" si="1"/>
        <v>99.00008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35"/>
      <c r="B9" s="35"/>
      <c r="C9" s="35"/>
      <c r="D9" s="37"/>
      <c r="E9" s="61"/>
      <c r="F9" s="35"/>
      <c r="G9" s="35"/>
      <c r="H9" s="35"/>
      <c r="I9" s="39">
        <f t="shared" si="1"/>
        <v>999999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35"/>
      <c r="B10" s="35"/>
      <c r="C10" s="35"/>
      <c r="D10" s="37"/>
      <c r="E10" s="61"/>
      <c r="F10" s="35"/>
      <c r="G10" s="35"/>
      <c r="H10" s="35"/>
      <c r="I10" s="39">
        <f t="shared" si="1"/>
        <v>999999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35"/>
      <c r="B11" s="35"/>
      <c r="C11" s="35"/>
      <c r="D11" s="37"/>
      <c r="E11" s="61"/>
      <c r="F11" s="35"/>
      <c r="G11" s="35"/>
      <c r="H11" s="35"/>
      <c r="I11" s="39">
        <f t="shared" si="1"/>
        <v>999999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35"/>
      <c r="B12" s="35"/>
      <c r="C12" s="35"/>
      <c r="D12" s="37"/>
      <c r="E12" s="61"/>
      <c r="F12" s="35"/>
      <c r="G12" s="35"/>
      <c r="H12" s="35"/>
      <c r="I12" s="39">
        <f t="shared" si="1"/>
        <v>999999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35"/>
      <c r="B13" s="35"/>
      <c r="C13" s="35"/>
      <c r="D13" s="37"/>
      <c r="E13" s="61"/>
      <c r="F13" s="35"/>
      <c r="G13" s="35"/>
      <c r="H13" s="35"/>
      <c r="I13" s="39">
        <f t="shared" si="1"/>
        <v>999999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35"/>
      <c r="B14" s="35"/>
      <c r="C14" s="35"/>
      <c r="D14" s="37"/>
      <c r="E14" s="61"/>
      <c r="F14" s="35"/>
      <c r="G14" s="35"/>
      <c r="H14" s="35"/>
      <c r="I14" s="39">
        <f t="shared" si="1"/>
        <v>999999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35"/>
      <c r="B15" s="35"/>
      <c r="C15" s="35"/>
      <c r="D15" s="37"/>
      <c r="E15" s="61"/>
      <c r="F15" s="35"/>
      <c r="G15" s="35"/>
      <c r="H15" s="35"/>
      <c r="I15" s="39">
        <f t="shared" si="1"/>
        <v>999999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35"/>
      <c r="B16" s="35"/>
      <c r="C16" s="35"/>
      <c r="D16" s="37"/>
      <c r="E16" s="61"/>
      <c r="F16" s="35"/>
      <c r="G16" s="35"/>
      <c r="H16" s="35"/>
      <c r="I16" s="39">
        <f t="shared" si="1"/>
        <v>999999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35"/>
      <c r="B17" s="35"/>
      <c r="C17" s="35"/>
      <c r="D17" s="37"/>
      <c r="E17" s="61"/>
      <c r="F17" s="35"/>
      <c r="G17" s="35"/>
      <c r="H17" s="35"/>
      <c r="I17" s="39">
        <f t="shared" si="1"/>
        <v>999999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35"/>
      <c r="B18" s="35"/>
      <c r="C18" s="35"/>
      <c r="D18" s="37"/>
      <c r="E18" s="61"/>
      <c r="F18" s="35"/>
      <c r="G18" s="35"/>
      <c r="H18" s="35"/>
      <c r="I18" s="39">
        <f t="shared" si="1"/>
        <v>999999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35"/>
      <c r="B19" s="35"/>
      <c r="C19" s="35"/>
      <c r="D19" s="37"/>
      <c r="E19" s="61"/>
      <c r="F19" s="35"/>
      <c r="G19" s="35"/>
      <c r="H19" s="35"/>
      <c r="I19" s="39">
        <f t="shared" si="1"/>
        <v>999999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35"/>
      <c r="B20" s="35"/>
      <c r="C20" s="35"/>
      <c r="D20" s="37"/>
      <c r="E20" s="61"/>
      <c r="F20" s="35"/>
      <c r="G20" s="35"/>
      <c r="H20" s="35"/>
      <c r="I20" s="39">
        <f t="shared" si="1"/>
        <v>999999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35"/>
      <c r="B21" s="35"/>
      <c r="C21" s="35"/>
      <c r="D21" s="37"/>
      <c r="E21" s="61"/>
      <c r="F21" s="35"/>
      <c r="G21" s="35"/>
      <c r="H21" s="35"/>
      <c r="I21" s="39">
        <f t="shared" si="1"/>
        <v>999999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35"/>
      <c r="B22" s="35"/>
      <c r="C22" s="35"/>
      <c r="D22" s="37"/>
      <c r="E22" s="61"/>
      <c r="F22" s="35"/>
      <c r="G22" s="35"/>
      <c r="H22" s="35"/>
      <c r="I22" s="39">
        <f t="shared" si="1"/>
        <v>999999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35"/>
      <c r="B23" s="35"/>
      <c r="C23" s="35"/>
      <c r="D23" s="37"/>
      <c r="E23" s="61"/>
      <c r="F23" s="35"/>
      <c r="G23" s="35"/>
      <c r="H23" s="35"/>
      <c r="I23" s="39">
        <f t="shared" si="1"/>
        <v>999999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35"/>
      <c r="B24" s="35"/>
      <c r="C24" s="35"/>
      <c r="D24" s="37"/>
      <c r="E24" s="61"/>
      <c r="F24" s="35"/>
      <c r="G24" s="35"/>
      <c r="H24" s="35"/>
      <c r="I24" s="39">
        <f t="shared" si="1"/>
        <v>999999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35"/>
      <c r="B25" s="35"/>
      <c r="C25" s="35"/>
      <c r="D25" s="37"/>
      <c r="E25" s="61"/>
      <c r="F25" s="35"/>
      <c r="G25" s="35"/>
      <c r="H25" s="35"/>
      <c r="I25" s="39">
        <f t="shared" si="1"/>
        <v>999999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35"/>
      <c r="B26" s="35"/>
      <c r="C26" s="35"/>
      <c r="D26" s="37"/>
      <c r="E26" s="61"/>
      <c r="F26" s="35"/>
      <c r="G26" s="35"/>
      <c r="H26" s="35"/>
      <c r="I26" s="39">
        <f t="shared" si="1"/>
        <v>999999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35"/>
      <c r="B27" s="35"/>
      <c r="C27" s="35"/>
      <c r="D27" s="37"/>
      <c r="E27" s="61"/>
      <c r="F27" s="35"/>
      <c r="G27" s="35"/>
      <c r="H27" s="35"/>
      <c r="I27" s="39">
        <f t="shared" si="1"/>
        <v>999999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35"/>
      <c r="B28" s="35"/>
      <c r="C28" s="35"/>
      <c r="D28" s="37"/>
      <c r="E28" s="61"/>
      <c r="F28" s="35"/>
      <c r="G28" s="35"/>
      <c r="H28" s="35"/>
      <c r="I28" s="39">
        <f t="shared" si="1"/>
        <v>999999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35"/>
      <c r="B29" s="35"/>
      <c r="C29" s="35"/>
      <c r="D29" s="37"/>
      <c r="E29" s="61"/>
      <c r="F29" s="35"/>
      <c r="G29" s="35"/>
      <c r="H29" s="35"/>
      <c r="I29" s="39">
        <f t="shared" si="1"/>
        <v>999999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35"/>
      <c r="B30" s="35"/>
      <c r="C30" s="35"/>
      <c r="D30" s="37"/>
      <c r="E30" s="61"/>
      <c r="F30" s="35"/>
      <c r="G30" s="35"/>
      <c r="H30" s="35"/>
      <c r="I30" s="39">
        <f t="shared" si="1"/>
        <v>999999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35"/>
      <c r="B31" s="35"/>
      <c r="C31" s="35"/>
      <c r="D31" s="37"/>
      <c r="E31" s="61"/>
      <c r="F31" s="35"/>
      <c r="G31" s="35"/>
      <c r="H31" s="35"/>
      <c r="I31" s="39">
        <f t="shared" si="1"/>
        <v>999999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35"/>
      <c r="B32" s="35"/>
      <c r="C32" s="35"/>
      <c r="D32" s="37"/>
      <c r="E32" s="61"/>
      <c r="F32" s="35"/>
      <c r="G32" s="35"/>
      <c r="H32" s="35"/>
      <c r="I32" s="39">
        <f t="shared" si="1"/>
        <v>999999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35"/>
      <c r="B33" s="35"/>
      <c r="C33" s="35"/>
      <c r="D33" s="37"/>
      <c r="E33" s="61"/>
      <c r="F33" s="35"/>
      <c r="G33" s="35"/>
      <c r="H33" s="35"/>
      <c r="I33" s="39">
        <f t="shared" si="1"/>
        <v>999999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35"/>
      <c r="B34" s="35"/>
      <c r="C34" s="35"/>
      <c r="D34" s="37"/>
      <c r="E34" s="61"/>
      <c r="F34" s="35"/>
      <c r="G34" s="35"/>
      <c r="H34" s="35"/>
      <c r="I34" s="39">
        <f t="shared" si="1"/>
        <v>999999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35"/>
      <c r="B35" s="35"/>
      <c r="C35" s="35"/>
      <c r="D35" s="37"/>
      <c r="E35" s="61"/>
      <c r="F35" s="35"/>
      <c r="G35" s="35"/>
      <c r="H35" s="35"/>
      <c r="I35" s="39">
        <f t="shared" si="1"/>
        <v>999999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35"/>
      <c r="B36" s="35"/>
      <c r="C36" s="35"/>
      <c r="D36" s="37"/>
      <c r="E36" s="61"/>
      <c r="F36" s="35"/>
      <c r="G36" s="35"/>
      <c r="H36" s="35"/>
      <c r="I36" s="39">
        <f t="shared" si="1"/>
        <v>999999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35"/>
      <c r="B37" s="35"/>
      <c r="C37" s="35"/>
      <c r="D37" s="37"/>
      <c r="E37" s="61"/>
      <c r="F37" s="35"/>
      <c r="G37" s="35"/>
      <c r="H37" s="35"/>
      <c r="I37" s="39">
        <f t="shared" si="1"/>
        <v>999999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35"/>
      <c r="B38" s="35"/>
      <c r="C38" s="35"/>
      <c r="D38" s="37"/>
      <c r="E38" s="61"/>
      <c r="F38" s="35"/>
      <c r="G38" s="35"/>
      <c r="H38" s="35"/>
      <c r="I38" s="39">
        <f t="shared" si="1"/>
        <v>999999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35"/>
      <c r="B39" s="35"/>
      <c r="C39" s="35"/>
      <c r="D39" s="37"/>
      <c r="E39" s="61"/>
      <c r="F39" s="35"/>
      <c r="G39" s="35"/>
      <c r="H39" s="35"/>
      <c r="I39" s="39">
        <f t="shared" si="1"/>
        <v>999999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35"/>
      <c r="B40" s="35"/>
      <c r="C40" s="35"/>
      <c r="D40" s="37"/>
      <c r="E40" s="61"/>
      <c r="F40" s="35"/>
      <c r="G40" s="35"/>
      <c r="H40" s="35"/>
      <c r="I40" s="39">
        <f t="shared" si="1"/>
        <v>999999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35"/>
      <c r="B41" s="35"/>
      <c r="C41" s="35"/>
      <c r="D41" s="37"/>
      <c r="E41" s="61"/>
      <c r="F41" s="35"/>
      <c r="G41" s="35"/>
      <c r="H41" s="35"/>
      <c r="I41" s="39">
        <f t="shared" si="1"/>
        <v>999999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35"/>
      <c r="B42" s="35"/>
      <c r="C42" s="35"/>
      <c r="D42" s="37"/>
      <c r="E42" s="61"/>
      <c r="F42" s="35"/>
      <c r="G42" s="35"/>
      <c r="H42" s="35"/>
      <c r="I42" s="39">
        <f t="shared" si="1"/>
        <v>999999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35"/>
      <c r="B43" s="35"/>
      <c r="C43" s="35"/>
      <c r="D43" s="37"/>
      <c r="E43" s="61"/>
      <c r="F43" s="35"/>
      <c r="G43" s="35"/>
      <c r="H43" s="35"/>
      <c r="I43" s="39">
        <f t="shared" si="1"/>
        <v>999999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35"/>
      <c r="B44" s="35"/>
      <c r="C44" s="35"/>
      <c r="D44" s="37"/>
      <c r="E44" s="61"/>
      <c r="F44" s="35"/>
      <c r="G44" s="35"/>
      <c r="H44" s="35"/>
      <c r="I44" s="39">
        <f t="shared" si="1"/>
        <v>999999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35"/>
      <c r="B45" s="35"/>
      <c r="C45" s="35"/>
      <c r="D45" s="37"/>
      <c r="E45" s="61"/>
      <c r="F45" s="35"/>
      <c r="G45" s="35"/>
      <c r="H45" s="35"/>
      <c r="I45" s="39">
        <f t="shared" si="1"/>
        <v>999999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35"/>
      <c r="B46" s="35"/>
      <c r="C46" s="35"/>
      <c r="D46" s="37"/>
      <c r="E46" s="61"/>
      <c r="F46" s="35"/>
      <c r="G46" s="35"/>
      <c r="H46" s="35"/>
      <c r="I46" s="39">
        <f t="shared" si="1"/>
        <v>999999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35"/>
      <c r="B47" s="35"/>
      <c r="C47" s="35"/>
      <c r="D47" s="37"/>
      <c r="E47" s="61"/>
      <c r="F47" s="35"/>
      <c r="G47" s="35"/>
      <c r="H47" s="35"/>
      <c r="I47" s="39">
        <f t="shared" si="1"/>
        <v>999999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35"/>
      <c r="B48" s="35"/>
      <c r="C48" s="35"/>
      <c r="D48" s="37"/>
      <c r="E48" s="61"/>
      <c r="F48" s="35"/>
      <c r="G48" s="35"/>
      <c r="H48" s="35"/>
      <c r="I48" s="39">
        <f t="shared" si="1"/>
        <v>999999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35"/>
      <c r="B49" s="35"/>
      <c r="C49" s="35"/>
      <c r="D49" s="37"/>
      <c r="E49" s="61"/>
      <c r="F49" s="35"/>
      <c r="G49" s="35"/>
      <c r="H49" s="35"/>
      <c r="I49" s="39">
        <f t="shared" si="1"/>
        <v>999999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35"/>
      <c r="B50" s="35"/>
      <c r="C50" s="35"/>
      <c r="D50" s="37"/>
      <c r="E50" s="61"/>
      <c r="F50" s="35"/>
      <c r="G50" s="35"/>
      <c r="H50" s="35"/>
      <c r="I50" s="39">
        <f t="shared" si="1"/>
        <v>999999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35"/>
      <c r="B51" s="35"/>
      <c r="C51" s="35"/>
      <c r="D51" s="37"/>
      <c r="E51" s="61"/>
      <c r="F51" s="35"/>
      <c r="G51" s="35"/>
      <c r="H51" s="35"/>
      <c r="I51" s="39">
        <f t="shared" si="1"/>
        <v>999999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35"/>
      <c r="B52" s="35"/>
      <c r="C52" s="35"/>
      <c r="D52" s="37"/>
      <c r="E52" s="61"/>
      <c r="F52" s="35"/>
      <c r="G52" s="35"/>
      <c r="H52" s="35"/>
      <c r="I52" s="39">
        <f t="shared" si="1"/>
        <v>999999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35"/>
      <c r="B53" s="35"/>
      <c r="C53" s="35"/>
      <c r="D53" s="37"/>
      <c r="E53" s="61"/>
      <c r="F53" s="35"/>
      <c r="G53" s="35"/>
      <c r="H53" s="35"/>
      <c r="I53" s="39">
        <f t="shared" si="1"/>
        <v>999999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35"/>
      <c r="B54" s="35"/>
      <c r="C54" s="35"/>
      <c r="D54" s="37"/>
      <c r="E54" s="61"/>
      <c r="F54" s="35"/>
      <c r="G54" s="35"/>
      <c r="H54" s="35"/>
      <c r="I54" s="39">
        <f t="shared" si="1"/>
        <v>999999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35"/>
      <c r="B55" s="35"/>
      <c r="C55" s="35"/>
      <c r="D55" s="37"/>
      <c r="E55" s="61"/>
      <c r="F55" s="35"/>
      <c r="G55" s="35"/>
      <c r="H55" s="35"/>
      <c r="I55" s="39">
        <f t="shared" si="1"/>
        <v>999999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35"/>
      <c r="B56" s="35"/>
      <c r="C56" s="35"/>
      <c r="D56" s="37"/>
      <c r="E56" s="61"/>
      <c r="F56" s="35"/>
      <c r="G56" s="35"/>
      <c r="H56" s="35"/>
      <c r="I56" s="39">
        <f t="shared" si="1"/>
        <v>999999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35"/>
      <c r="B57" s="35"/>
      <c r="C57" s="35"/>
      <c r="D57" s="37"/>
      <c r="E57" s="61"/>
      <c r="F57" s="35"/>
      <c r="G57" s="35"/>
      <c r="H57" s="35"/>
      <c r="I57" s="39">
        <f t="shared" si="1"/>
        <v>999999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35"/>
      <c r="B58" s="35"/>
      <c r="C58" s="35"/>
      <c r="D58" s="37"/>
      <c r="E58" s="61"/>
      <c r="F58" s="35"/>
      <c r="G58" s="35"/>
      <c r="H58" s="35"/>
      <c r="I58" s="39">
        <f t="shared" si="1"/>
        <v>999999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35"/>
      <c r="B59" s="35"/>
      <c r="C59" s="35"/>
      <c r="D59" s="37"/>
      <c r="E59" s="61"/>
      <c r="F59" s="35"/>
      <c r="G59" s="35"/>
      <c r="H59" s="35"/>
      <c r="I59" s="39">
        <f t="shared" si="1"/>
        <v>999999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35"/>
      <c r="B60" s="35"/>
      <c r="C60" s="35"/>
      <c r="D60" s="37"/>
      <c r="E60" s="61"/>
      <c r="F60" s="35"/>
      <c r="G60" s="35"/>
      <c r="H60" s="35"/>
      <c r="I60" s="39">
        <f t="shared" si="1"/>
        <v>999999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35"/>
      <c r="B61" s="35"/>
      <c r="C61" s="35"/>
      <c r="D61" s="37"/>
      <c r="E61" s="61"/>
      <c r="F61" s="35"/>
      <c r="G61" s="35"/>
      <c r="H61" s="35"/>
      <c r="I61" s="39">
        <f t="shared" si="1"/>
        <v>999999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35"/>
      <c r="B62" s="35"/>
      <c r="C62" s="35"/>
      <c r="D62" s="37"/>
      <c r="E62" s="61"/>
      <c r="F62" s="35"/>
      <c r="G62" s="35"/>
      <c r="H62" s="35"/>
      <c r="I62" s="39">
        <f t="shared" si="1"/>
        <v>999999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35"/>
      <c r="B63" s="35"/>
      <c r="C63" s="35"/>
      <c r="D63" s="37"/>
      <c r="E63" s="61"/>
      <c r="F63" s="35"/>
      <c r="G63" s="35"/>
      <c r="H63" s="35"/>
      <c r="I63" s="39">
        <f t="shared" si="1"/>
        <v>999999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35"/>
      <c r="B64" s="35"/>
      <c r="C64" s="35"/>
      <c r="D64" s="37"/>
      <c r="E64" s="61"/>
      <c r="F64" s="35"/>
      <c r="G64" s="35"/>
      <c r="H64" s="35"/>
      <c r="I64" s="39">
        <f t="shared" si="1"/>
        <v>999999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35"/>
      <c r="B65" s="35"/>
      <c r="C65" s="35"/>
      <c r="D65" s="37"/>
      <c r="E65" s="61"/>
      <c r="F65" s="35"/>
      <c r="G65" s="35"/>
      <c r="H65" s="35"/>
      <c r="I65" s="39">
        <f t="shared" si="1"/>
        <v>999999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35"/>
      <c r="B66" s="35"/>
      <c r="C66" s="35"/>
      <c r="D66" s="37"/>
      <c r="E66" s="61"/>
      <c r="F66" s="35"/>
      <c r="G66" s="35"/>
      <c r="H66" s="35"/>
      <c r="I66" s="39">
        <f t="shared" si="1"/>
        <v>999999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35"/>
      <c r="B67" s="35"/>
      <c r="C67" s="35"/>
      <c r="D67" s="37"/>
      <c r="E67" s="61"/>
      <c r="F67" s="35"/>
      <c r="G67" s="35"/>
      <c r="H67" s="35"/>
      <c r="I67" s="39">
        <f t="shared" si="1"/>
        <v>999999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35"/>
      <c r="B68" s="35"/>
      <c r="C68" s="35"/>
      <c r="D68" s="37"/>
      <c r="E68" s="61"/>
      <c r="F68" s="35"/>
      <c r="G68" s="35"/>
      <c r="H68" s="35"/>
      <c r="I68" s="39">
        <f t="shared" si="1"/>
        <v>999999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35"/>
      <c r="B69" s="35"/>
      <c r="C69" s="35"/>
      <c r="D69" s="37"/>
      <c r="E69" s="61"/>
      <c r="F69" s="35"/>
      <c r="G69" s="35"/>
      <c r="H69" s="35"/>
      <c r="I69" s="39">
        <f t="shared" si="1"/>
        <v>999999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35"/>
      <c r="B70" s="35"/>
      <c r="C70" s="35"/>
      <c r="D70" s="37"/>
      <c r="E70" s="61"/>
      <c r="F70" s="35"/>
      <c r="G70" s="35"/>
      <c r="H70" s="35"/>
      <c r="I70" s="39">
        <f t="shared" si="1"/>
        <v>999999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35"/>
      <c r="B71" s="35"/>
      <c r="C71" s="35"/>
      <c r="D71" s="37"/>
      <c r="E71" s="61"/>
      <c r="F71" s="35"/>
      <c r="G71" s="35"/>
      <c r="H71" s="35"/>
      <c r="I71" s="39">
        <f t="shared" si="1"/>
        <v>999999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35"/>
      <c r="B72" s="35"/>
      <c r="C72" s="35"/>
      <c r="D72" s="37"/>
      <c r="E72" s="61"/>
      <c r="F72" s="35"/>
      <c r="G72" s="35"/>
      <c r="H72" s="35"/>
      <c r="I72" s="39">
        <f t="shared" si="1"/>
        <v>999999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35"/>
      <c r="B73" s="35"/>
      <c r="C73" s="35"/>
      <c r="D73" s="37"/>
      <c r="E73" s="61"/>
      <c r="F73" s="35"/>
      <c r="G73" s="35"/>
      <c r="H73" s="35"/>
      <c r="I73" s="39">
        <f t="shared" si="1"/>
        <v>999999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35"/>
      <c r="B74" s="35"/>
      <c r="C74" s="35"/>
      <c r="D74" s="37"/>
      <c r="E74" s="61"/>
      <c r="F74" s="35"/>
      <c r="G74" s="35"/>
      <c r="H74" s="35"/>
      <c r="I74" s="39">
        <f t="shared" si="1"/>
        <v>999999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35"/>
      <c r="B75" s="35"/>
      <c r="C75" s="35"/>
      <c r="D75" s="37"/>
      <c r="E75" s="61"/>
      <c r="F75" s="35"/>
      <c r="G75" s="35"/>
      <c r="H75" s="35"/>
      <c r="I75" s="39">
        <f t="shared" si="1"/>
        <v>999999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35"/>
      <c r="B76" s="35"/>
      <c r="C76" s="35"/>
      <c r="D76" s="37"/>
      <c r="E76" s="61"/>
      <c r="F76" s="35"/>
      <c r="G76" s="35"/>
      <c r="H76" s="35"/>
      <c r="I76" s="39">
        <f t="shared" si="1"/>
        <v>999999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35"/>
      <c r="B77" s="35"/>
      <c r="C77" s="35"/>
      <c r="D77" s="37"/>
      <c r="E77" s="61"/>
      <c r="F77" s="35"/>
      <c r="G77" s="35"/>
      <c r="H77" s="35"/>
      <c r="I77" s="39">
        <f t="shared" si="1"/>
        <v>999999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35"/>
      <c r="B78" s="35"/>
      <c r="C78" s="35"/>
      <c r="D78" s="37"/>
      <c r="E78" s="61"/>
      <c r="F78" s="35"/>
      <c r="G78" s="35"/>
      <c r="H78" s="35"/>
      <c r="I78" s="39">
        <f t="shared" si="1"/>
        <v>999999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35"/>
      <c r="B79" s="35"/>
      <c r="C79" s="35"/>
      <c r="D79" s="37"/>
      <c r="E79" s="61"/>
      <c r="F79" s="35"/>
      <c r="G79" s="35"/>
      <c r="H79" s="35"/>
      <c r="I79" s="39">
        <f t="shared" si="1"/>
        <v>999999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35"/>
      <c r="B80" s="35"/>
      <c r="C80" s="35"/>
      <c r="D80" s="37"/>
      <c r="E80" s="61"/>
      <c r="F80" s="35"/>
      <c r="G80" s="35"/>
      <c r="H80" s="35"/>
      <c r="I80" s="39">
        <f t="shared" si="1"/>
        <v>999999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35"/>
      <c r="B81" s="35"/>
      <c r="C81" s="35"/>
      <c r="D81" s="37"/>
      <c r="E81" s="61"/>
      <c r="F81" s="35"/>
      <c r="G81" s="35"/>
      <c r="H81" s="35"/>
      <c r="I81" s="39">
        <f t="shared" si="1"/>
        <v>999999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35"/>
      <c r="B82" s="35"/>
      <c r="C82" s="35"/>
      <c r="D82" s="37"/>
      <c r="E82" s="61"/>
      <c r="F82" s="35"/>
      <c r="G82" s="35"/>
      <c r="H82" s="35"/>
      <c r="I82" s="39">
        <f t="shared" si="1"/>
        <v>999999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35"/>
      <c r="B83" s="35"/>
      <c r="C83" s="35"/>
      <c r="D83" s="37"/>
      <c r="E83" s="61"/>
      <c r="F83" s="35"/>
      <c r="G83" s="35"/>
      <c r="H83" s="35"/>
      <c r="I83" s="39">
        <f t="shared" si="1"/>
        <v>999999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35"/>
      <c r="B84" s="35"/>
      <c r="C84" s="35"/>
      <c r="D84" s="37"/>
      <c r="E84" s="61"/>
      <c r="F84" s="35"/>
      <c r="G84" s="35"/>
      <c r="H84" s="35"/>
      <c r="I84" s="39">
        <f t="shared" si="1"/>
        <v>999999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35"/>
      <c r="B85" s="35"/>
      <c r="C85" s="35"/>
      <c r="D85" s="37"/>
      <c r="E85" s="61"/>
      <c r="F85" s="35"/>
      <c r="G85" s="35"/>
      <c r="H85" s="35"/>
      <c r="I85" s="39">
        <f t="shared" si="1"/>
        <v>999999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35"/>
      <c r="B86" s="35"/>
      <c r="C86" s="35"/>
      <c r="D86" s="37"/>
      <c r="E86" s="61"/>
      <c r="F86" s="35"/>
      <c r="G86" s="35"/>
      <c r="H86" s="35"/>
      <c r="I86" s="39">
        <f t="shared" si="1"/>
        <v>999999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35"/>
      <c r="B87" s="35"/>
      <c r="C87" s="35"/>
      <c r="D87" s="37"/>
      <c r="E87" s="61"/>
      <c r="F87" s="35"/>
      <c r="G87" s="35"/>
      <c r="H87" s="35"/>
      <c r="I87" s="39">
        <f t="shared" si="1"/>
        <v>999999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35"/>
      <c r="B88" s="35"/>
      <c r="C88" s="35"/>
      <c r="D88" s="37"/>
      <c r="E88" s="61"/>
      <c r="F88" s="35"/>
      <c r="G88" s="35"/>
      <c r="H88" s="35"/>
      <c r="I88" s="39">
        <f t="shared" si="1"/>
        <v>999999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35"/>
      <c r="B89" s="35"/>
      <c r="C89" s="35"/>
      <c r="D89" s="37"/>
      <c r="E89" s="61"/>
      <c r="F89" s="35"/>
      <c r="G89" s="35"/>
      <c r="H89" s="35"/>
      <c r="I89" s="39">
        <f t="shared" si="1"/>
        <v>999999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35"/>
      <c r="B90" s="35"/>
      <c r="C90" s="35"/>
      <c r="D90" s="37"/>
      <c r="E90" s="61"/>
      <c r="F90" s="35"/>
      <c r="G90" s="35"/>
      <c r="H90" s="35"/>
      <c r="I90" s="39">
        <f t="shared" si="1"/>
        <v>999999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35"/>
      <c r="B91" s="35"/>
      <c r="C91" s="35"/>
      <c r="D91" s="37"/>
      <c r="E91" s="61"/>
      <c r="F91" s="35"/>
      <c r="G91" s="35"/>
      <c r="H91" s="35"/>
      <c r="I91" s="39">
        <f t="shared" si="1"/>
        <v>999999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35"/>
      <c r="B92" s="35"/>
      <c r="C92" s="35"/>
      <c r="D92" s="37"/>
      <c r="E92" s="61"/>
      <c r="F92" s="35"/>
      <c r="G92" s="35"/>
      <c r="H92" s="35"/>
      <c r="I92" s="39">
        <f t="shared" si="1"/>
        <v>999999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35"/>
      <c r="B93" s="35"/>
      <c r="C93" s="35"/>
      <c r="D93" s="37"/>
      <c r="E93" s="61"/>
      <c r="F93" s="35"/>
      <c r="G93" s="35"/>
      <c r="H93" s="35"/>
      <c r="I93" s="39">
        <f t="shared" si="1"/>
        <v>999999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35"/>
      <c r="B94" s="35"/>
      <c r="C94" s="35"/>
      <c r="D94" s="37"/>
      <c r="E94" s="61"/>
      <c r="F94" s="35"/>
      <c r="G94" s="35"/>
      <c r="H94" s="35"/>
      <c r="I94" s="39">
        <f t="shared" si="1"/>
        <v>999999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35"/>
      <c r="B95" s="35"/>
      <c r="C95" s="35"/>
      <c r="D95" s="37"/>
      <c r="E95" s="61"/>
      <c r="F95" s="35"/>
      <c r="G95" s="35"/>
      <c r="H95" s="35"/>
      <c r="I95" s="39">
        <f t="shared" si="1"/>
        <v>999999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35"/>
      <c r="B96" s="35"/>
      <c r="C96" s="35"/>
      <c r="D96" s="37"/>
      <c r="E96" s="61"/>
      <c r="F96" s="35"/>
      <c r="G96" s="35"/>
      <c r="H96" s="35"/>
      <c r="I96" s="39">
        <f t="shared" si="1"/>
        <v>999999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35"/>
      <c r="B97" s="35"/>
      <c r="C97" s="35"/>
      <c r="D97" s="37"/>
      <c r="E97" s="61"/>
      <c r="F97" s="35"/>
      <c r="G97" s="35"/>
      <c r="H97" s="35"/>
      <c r="I97" s="39">
        <f t="shared" si="1"/>
        <v>999999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35"/>
      <c r="B98" s="35"/>
      <c r="C98" s="35"/>
      <c r="D98" s="37"/>
      <c r="E98" s="61"/>
      <c r="F98" s="35"/>
      <c r="G98" s="35"/>
      <c r="H98" s="35"/>
      <c r="I98" s="39">
        <f t="shared" si="1"/>
        <v>999999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35"/>
      <c r="B99" s="35"/>
      <c r="C99" s="35"/>
      <c r="D99" s="37"/>
      <c r="E99" s="61"/>
      <c r="F99" s="35"/>
      <c r="G99" s="35"/>
      <c r="H99" s="35"/>
      <c r="I99" s="39">
        <f t="shared" si="1"/>
        <v>999999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35"/>
      <c r="B100" s="35"/>
      <c r="C100" s="35"/>
      <c r="D100" s="37"/>
      <c r="E100" s="61"/>
      <c r="F100" s="35"/>
      <c r="G100" s="35"/>
      <c r="H100" s="35"/>
      <c r="I100" s="39">
        <f t="shared" si="1"/>
        <v>999999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35"/>
      <c r="B101" s="35"/>
      <c r="C101" s="35"/>
      <c r="D101" s="37"/>
      <c r="E101" s="61"/>
      <c r="F101" s="35"/>
      <c r="G101" s="35"/>
      <c r="H101" s="35"/>
      <c r="I101" s="39">
        <f t="shared" si="1"/>
        <v>999999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35"/>
      <c r="B102" s="35"/>
      <c r="C102" s="35"/>
      <c r="D102" s="37"/>
      <c r="E102" s="61"/>
      <c r="F102" s="35"/>
      <c r="G102" s="35"/>
      <c r="H102" s="35"/>
      <c r="I102" s="39">
        <f t="shared" si="1"/>
        <v>999999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35"/>
      <c r="B103" s="35"/>
      <c r="C103" s="35"/>
      <c r="D103" s="37"/>
      <c r="E103" s="61"/>
      <c r="F103" s="35"/>
      <c r="G103" s="35"/>
      <c r="H103" s="35"/>
      <c r="I103" s="39">
        <f t="shared" si="1"/>
        <v>999999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35"/>
      <c r="B104" s="35"/>
      <c r="C104" s="35"/>
      <c r="D104" s="37"/>
      <c r="E104" s="61"/>
      <c r="F104" s="35"/>
      <c r="G104" s="35"/>
      <c r="H104" s="35"/>
      <c r="I104" s="39">
        <f t="shared" si="1"/>
        <v>999999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35"/>
      <c r="B105" s="35"/>
      <c r="C105" s="35"/>
      <c r="D105" s="37"/>
      <c r="E105" s="61"/>
      <c r="F105" s="35"/>
      <c r="G105" s="35"/>
      <c r="H105" s="35"/>
      <c r="I105" s="39">
        <f t="shared" si="1"/>
        <v>999999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I2"/>
    <mergeCell ref="A3:I3"/>
  </mergeCells>
  <dataValidations>
    <dataValidation type="list" allowBlank="1" sqref="B6:B105">
      <formula1>SETTINGS!$C$6:$C$13</formula1>
    </dataValidation>
    <dataValidation type="list" allowBlank="1" sqref="F6:F105">
      <formula1>SETTINGS!$H$6:$H$10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20.0"/>
    <col customWidth="1" min="9" max="26" width="8.88"/>
  </cols>
  <sheetData>
    <row r="1" ht="13.5" customHeight="1">
      <c r="A1" s="1" t="s">
        <v>250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" t="s">
        <v>251</v>
      </c>
      <c r="B3" s="9"/>
      <c r="C3" s="9"/>
      <c r="D3" s="9"/>
      <c r="E3" s="9"/>
      <c r="F3" s="9"/>
      <c r="G3" s="9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64" t="s">
        <v>252</v>
      </c>
      <c r="B5" s="64" t="s">
        <v>253</v>
      </c>
      <c r="C5" s="64" t="s">
        <v>254</v>
      </c>
      <c r="D5" s="64" t="s">
        <v>255</v>
      </c>
      <c r="E5" s="64" t="s">
        <v>256</v>
      </c>
      <c r="F5" s="64" t="s">
        <v>257</v>
      </c>
      <c r="G5" s="64" t="s">
        <v>258</v>
      </c>
      <c r="H5" s="64" t="s">
        <v>259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4" t="s">
        <v>129</v>
      </c>
      <c r="B6" s="4" t="s">
        <v>114</v>
      </c>
      <c r="C6" s="4" t="s">
        <v>76</v>
      </c>
      <c r="D6" s="4" t="s">
        <v>68</v>
      </c>
      <c r="E6" s="4" t="s">
        <v>260</v>
      </c>
      <c r="F6" s="4" t="s">
        <v>136</v>
      </c>
      <c r="G6" s="4" t="s">
        <v>150</v>
      </c>
      <c r="H6" s="4" t="s">
        <v>114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4" t="s">
        <v>126</v>
      </c>
      <c r="B7" s="4" t="s">
        <v>127</v>
      </c>
      <c r="C7" s="4" t="s">
        <v>58</v>
      </c>
      <c r="D7" s="4" t="s">
        <v>70</v>
      </c>
      <c r="E7" s="4" t="s">
        <v>261</v>
      </c>
      <c r="F7" s="4" t="s">
        <v>141</v>
      </c>
      <c r="G7" s="4" t="s">
        <v>153</v>
      </c>
      <c r="H7" s="4" t="s">
        <v>127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4" t="s">
        <v>113</v>
      </c>
      <c r="B8" s="4" t="s">
        <v>262</v>
      </c>
      <c r="C8" s="4" t="s">
        <v>62</v>
      </c>
      <c r="D8" s="4" t="s">
        <v>61</v>
      </c>
      <c r="E8" s="4" t="s">
        <v>152</v>
      </c>
      <c r="F8" s="4" t="s">
        <v>263</v>
      </c>
      <c r="G8" s="4" t="s">
        <v>157</v>
      </c>
      <c r="H8" s="4" t="s">
        <v>264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4" t="s">
        <v>120</v>
      </c>
      <c r="B9" s="4" t="s">
        <v>265</v>
      </c>
      <c r="C9" s="4" t="s">
        <v>118</v>
      </c>
      <c r="D9" s="4" t="s">
        <v>200</v>
      </c>
      <c r="E9" s="4" t="s">
        <v>266</v>
      </c>
      <c r="F9" s="4" t="s">
        <v>267</v>
      </c>
      <c r="G9" s="4"/>
      <c r="H9" s="4" t="s">
        <v>268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4"/>
      <c r="B10" s="4" t="s">
        <v>269</v>
      </c>
      <c r="C10" s="4" t="s">
        <v>270</v>
      </c>
      <c r="D10" s="4" t="s">
        <v>271</v>
      </c>
      <c r="E10" s="4" t="s">
        <v>155</v>
      </c>
      <c r="F10" s="4"/>
      <c r="G10" s="4"/>
      <c r="H10" s="4" t="s">
        <v>269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/>
      <c r="B11" s="4"/>
      <c r="C11" s="4" t="s">
        <v>125</v>
      </c>
      <c r="D11" s="4" t="s">
        <v>76</v>
      </c>
      <c r="E11" s="4" t="s">
        <v>272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4"/>
      <c r="C12" s="4" t="s">
        <v>70</v>
      </c>
      <c r="D12" s="4" t="s">
        <v>151</v>
      </c>
      <c r="E12" s="4" t="s">
        <v>125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4"/>
      <c r="B13" s="4"/>
      <c r="C13" s="4" t="s">
        <v>151</v>
      </c>
      <c r="D13" s="4"/>
      <c r="E13" s="4" t="s">
        <v>76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/>
      <c r="B14" s="4"/>
      <c r="C14" s="4"/>
      <c r="D14" s="4"/>
      <c r="E14" s="4" t="s">
        <v>273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4"/>
      <c r="D15" s="4"/>
      <c r="E15" s="4" t="s">
        <v>245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 t="s">
        <v>157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 t="s">
        <v>62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 t="s">
        <v>151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4" t="s">
        <v>274</v>
      </c>
      <c r="B21" s="9"/>
      <c r="C21" s="9"/>
      <c r="D21" s="9"/>
      <c r="E21" s="9"/>
      <c r="F21" s="9"/>
      <c r="G21" s="9"/>
      <c r="H21" s="1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 t="s">
        <v>275</v>
      </c>
      <c r="B22" s="65" t="s">
        <v>276</v>
      </c>
      <c r="C22" s="4" t="s">
        <v>277</v>
      </c>
      <c r="D22" s="4"/>
      <c r="E22" s="4" t="s">
        <v>278</v>
      </c>
      <c r="F22" s="66" t="s">
        <v>279</v>
      </c>
      <c r="G22" s="4" t="s">
        <v>280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 t="s">
        <v>281</v>
      </c>
      <c r="B23" s="67" t="s">
        <v>282</v>
      </c>
      <c r="C23" s="4" t="s">
        <v>283</v>
      </c>
      <c r="D23" s="4"/>
      <c r="E23" s="4" t="s">
        <v>284</v>
      </c>
      <c r="F23" s="68" t="s">
        <v>285</v>
      </c>
      <c r="G23" s="4" t="s">
        <v>286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 t="s">
        <v>287</v>
      </c>
      <c r="B24" s="69" t="s">
        <v>288</v>
      </c>
      <c r="C24" s="4" t="s">
        <v>289</v>
      </c>
      <c r="D24" s="4"/>
      <c r="E24" s="4" t="s">
        <v>290</v>
      </c>
      <c r="F24" s="70" t="s">
        <v>291</v>
      </c>
      <c r="G24" s="4" t="s">
        <v>292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 t="s">
        <v>293</v>
      </c>
      <c r="B25" s="71" t="s">
        <v>294</v>
      </c>
      <c r="C25" s="4" t="s">
        <v>295</v>
      </c>
      <c r="D25" s="4"/>
      <c r="E25" s="4" t="s">
        <v>296</v>
      </c>
      <c r="F25" s="72" t="s">
        <v>297</v>
      </c>
      <c r="G25" s="4" t="s">
        <v>298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 t="s">
        <v>299</v>
      </c>
      <c r="B27" s="4" t="s">
        <v>300</v>
      </c>
      <c r="C27" s="4" t="s">
        <v>301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">
    <mergeCell ref="A1:H2"/>
    <mergeCell ref="A3:H3"/>
    <mergeCell ref="A21:H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