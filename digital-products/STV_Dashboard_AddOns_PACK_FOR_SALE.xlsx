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ADING" sheetId="2" r:id="rId6"/>
    <sheet state="visible" name="READING DISCUSSION" sheetId="3" r:id="rId7"/>
    <sheet state="visible" name="ADVENTURE JOURNAL" sheetId="4" r:id="rId8"/>
    <sheet state="visible" name="ADVENTURE MEMORY" sheetId="5" r:id="rId9"/>
    <sheet state="visible" name="STICKER JOURNAL" sheetId="6" r:id="rId10"/>
    <sheet state="visible" name="MOVIE + TV" sheetId="7" r:id="rId11"/>
    <sheet state="visible" name="TRAVEL PLANNER" sheetId="8" r:id="rId12"/>
    <sheet state="visible" name="TRIP DETAILS" sheetId="9" r:id="rId13"/>
    <sheet state="visible" name="PACKING LIST" sheetId="10" r:id="rId14"/>
    <sheet state="visible" name="GIFT + WISHLIST" sheetId="11" r:id="rId15"/>
  </sheets>
  <definedNames>
    <definedName hidden="1" localSheetId="1" name="_xlnm._FilterDatabase">READING!$A$13:$N$250</definedName>
    <definedName hidden="1" localSheetId="3" name="_xlnm._FilterDatabase">'ADVENTURE JOURNAL'!$A$13:$N$250</definedName>
    <definedName hidden="1" localSheetId="5" name="_xlnm._FilterDatabase">'STICKER JOURNAL'!$A$11:$L$250</definedName>
    <definedName hidden="1" localSheetId="6" name="_xlnm._FilterDatabase">'MOVIE + TV'!$A$13:$N$250</definedName>
    <definedName hidden="1" localSheetId="7" name="_xlnm._FilterDatabase">'TRAVEL PLANNER'!$A$13:$L$250</definedName>
  </definedNames>
  <calcPr/>
</workbook>
</file>

<file path=xl/sharedStrings.xml><?xml version="1.0" encoding="utf-8"?>
<sst xmlns="http://schemas.openxmlformats.org/spreadsheetml/2006/main" count="428" uniqueCount="304">
  <si>
    <t>Reading Vibe Discussion ♡</t>
  </si>
  <si>
    <t>Vibe Add-Ons ✦</t>
  </si>
  <si>
    <t>A little space to sit with the story after the last page.</t>
  </si>
  <si>
    <t>Choose a title from Reading Vibe. Duplicate this tab for each book if you want to keep individual discussion pages. ✦</t>
  </si>
  <si>
    <t>Reading Vibe ♡</t>
  </si>
  <si>
    <t>Adventure Vibe ♡</t>
  </si>
  <si>
    <t>Your life has side quests. Your planner should too.</t>
  </si>
  <si>
    <t>BOOK</t>
  </si>
  <si>
    <t>Your shelves, stories, and little literary obsessions — all in one place.</t>
  </si>
  <si>
    <t>Keep the plans, the places, and the stories worth remembering.</t>
  </si>
  <si>
    <t>Dashboard Add-On ✦ Use this as your adventure catalog, then duplicate Adventure Memory for the moments you want to keep.</t>
  </si>
  <si>
    <t>Dashboard Add-On ✦ Copy this tab into The Vibe Dashboard or use it all by itself.</t>
  </si>
  <si>
    <t>DONE</t>
  </si>
  <si>
    <t>PLANNED</t>
  </si>
  <si>
    <t>WISHLIST</t>
  </si>
  <si>
    <t>FAVORITES</t>
  </si>
  <si>
    <t>TOTAL SPENT</t>
  </si>
  <si>
    <t>AVG RATING</t>
  </si>
  <si>
    <t>HEY QUEEN, YOUR LIFE GETS TO BE SPECIFIC ♡</t>
  </si>
  <si>
    <t>NEXT UP</t>
  </si>
  <si>
    <t>YEAR</t>
  </si>
  <si>
    <t>The main Vibe Dashboard holds the everyday big picture, but some parts of life deserve their own little world. The books you devour, trips you plan, memories you want to keep, shows you binge, gifts you don’t want to forget — those things matter too, but they don’t all need to crowd your core system.</t>
  </si>
  <si>
    <t>Crank</t>
  </si>
  <si>
    <t>READING GOAL</t>
  </si>
  <si>
    <t>That’s why the Vibe Add-Ons exist. They’re modular little systems you can use on their own or slide into your Dashboard when they fit your season. Add what feels useful, leave what doesn’t, and let your system grow with you instead of forcing your life into somebody else’s planner.</t>
  </si>
  <si>
    <t>FINISHED</t>
  </si>
  <si>
    <t>Use one. Use all of them. Skip a few. Come back later. The goal isn’t more pages — it’s a planner that actually feels like yours. ✦</t>
  </si>
  <si>
    <t>RATING</t>
  </si>
  <si>
    <t>CURRENTLY READING</t>
  </si>
  <si>
    <t>TBR</t>
  </si>
  <si>
    <t>PROGRESS</t>
  </si>
  <si>
    <t>FAVORITE?</t>
  </si>
  <si>
    <t>WHAT’S IN YOUR VIBE? ♡</t>
  </si>
  <si>
    <t>Reading Vibe</t>
  </si>
  <si>
    <t>AUTHOR</t>
  </si>
  <si>
    <t>Book catalog + a duplicable discussion/reflection page</t>
  </si>
  <si>
    <t>Adventure Vibe</t>
  </si>
  <si>
    <t>Adventure tracker + a duplicable memory page</t>
  </si>
  <si>
    <t>Sticker Vibe</t>
  </si>
  <si>
    <t>Sticker collection catalog + digital sticker board</t>
  </si>
  <si>
    <t>Screen Vibe</t>
  </si>
  <si>
    <t>Movie + TV watchlist, progress, ratings, and mini reviews</t>
  </si>
  <si>
    <t>Travel Vibe</t>
  </si>
  <si>
    <t>Trip dashboard + trip details + full packing checklist</t>
  </si>
  <si>
    <t>Gift + Wishlist Vibe</t>
  </si>
  <si>
    <t>Gifts to give + your own wishlist in one place</t>
  </si>
  <si>
    <t>THE BOOK AT A GLANCE ✦</t>
  </si>
  <si>
    <t>HOW TO USE THESE ✦</t>
  </si>
  <si>
    <t>One-sentence takeaway — what was this book really about to you?</t>
  </si>
  <si>
    <t>Use the add-ons as standalone mini systems, or copy the sheet(s) you want into The Vibe Dashboard. Reflection, discussion, memory, and trip-detail pages are meant to be duplicated whenever you need a fresh one.</t>
  </si>
  <si>
    <t>Keep one clean original copy before you start customizing so you always have a fresh version to come back to.</t>
  </si>
  <si>
    <t>NEXT ADVENTURE ♡</t>
  </si>
  <si>
    <t>Make it useful. Make it pretty. Make it yours. ♡</t>
  </si>
  <si>
    <t>LATEST MEMORY ✦</t>
  </si>
  <si>
    <t>WHAT STAYED WITH ME ♡</t>
  </si>
  <si>
    <t>Favorite quote / line ✦</t>
  </si>
  <si>
    <t>Scene I keep thinking about ✦</t>
  </si>
  <si>
    <t>ADVENTURE</t>
  </si>
  <si>
    <t>DIG A LITTLE DEEPER ✦</t>
  </si>
  <si>
    <t>TYPE</t>
  </si>
  <si>
    <t>STATUS</t>
  </si>
  <si>
    <t>LOCATION</t>
  </si>
  <si>
    <t>DATE</t>
  </si>
  <si>
    <t>WITH</t>
  </si>
  <si>
    <t>Themes I noticed ✦</t>
  </si>
  <si>
    <t>EST. COST</t>
  </si>
  <si>
    <t>ACTUAL COST</t>
  </si>
  <si>
    <t>FAVORITE</t>
  </si>
  <si>
    <t>PHOTO / LINK</t>
  </si>
  <si>
    <t>BEST MOMENT</t>
  </si>
  <si>
    <t>DO AGAIN?</t>
  </si>
  <si>
    <t>NOTES</t>
  </si>
  <si>
    <t>CURRENT READ ♡</t>
  </si>
  <si>
    <t>NEXT UP ✦</t>
  </si>
  <si>
    <t>Character / relationship thoughts ✦</t>
  </si>
  <si>
    <t>What surprised me ✦</t>
  </si>
  <si>
    <t>What challenged me ✦</t>
  </si>
  <si>
    <t>PERSONAL REFLECTION ♡</t>
  </si>
  <si>
    <t>What did this book make me think or feel about my own life?</t>
  </si>
  <si>
    <t>Would I recommend it? To who? ✦</t>
  </si>
  <si>
    <t>Final thoughts / mini review ✦</t>
  </si>
  <si>
    <t>BOOK TITLE</t>
  </si>
  <si>
    <t>MY VERDICT ✦</t>
  </si>
  <si>
    <t>SERIES</t>
  </si>
  <si>
    <t>Overall vibe</t>
  </si>
  <si>
    <t>GENRE</t>
  </si>
  <si>
    <t>FORMAT</t>
  </si>
  <si>
    <t>LENGTH</t>
  </si>
  <si>
    <t>START DATE</t>
  </si>
  <si>
    <t>FINISH DATE</t>
  </si>
  <si>
    <t>SOURCE</t>
  </si>
  <si>
    <t>Reread?</t>
  </si>
  <si>
    <t>REVIEW / NOTES</t>
  </si>
  <si>
    <t>LINK</t>
  </si>
  <si>
    <t>Recommend?</t>
  </si>
  <si>
    <t>Ellen Hopkins</t>
  </si>
  <si>
    <t>Book Club Worthy?</t>
  </si>
  <si>
    <t>Adventure Memory ♡</t>
  </si>
  <si>
    <t>YA</t>
  </si>
  <si>
    <t>Print</t>
  </si>
  <si>
    <t>Reading</t>
  </si>
  <si>
    <t>The details fade. The feeling doesn’t have to.</t>
  </si>
  <si>
    <t>Choose an adventure from Adventure Vibe, then duplicate this tab if you want to keep a page for each memory. ✦</t>
  </si>
  <si>
    <t>Burned</t>
  </si>
  <si>
    <t>Audiobook</t>
  </si>
  <si>
    <t/>
  </si>
  <si>
    <t>Sticker Vibe ♡</t>
  </si>
  <si>
    <t>Collect it, catalog it, paste it somewhere cute.</t>
  </si>
  <si>
    <t>Dashboard Add-On ✦ Track your sticker collection on the left, then scroll down for your digital sticker board.</t>
  </si>
  <si>
    <t>♡ Don’t overthink it — a sentence, a tiny detail, a link, or a whole story all count. Fill what matters and leave the rest.</t>
  </si>
  <si>
    <t>THE ADVENTURE AT A GLANCE ✦</t>
  </si>
  <si>
    <t>What did we do? What made this one worth remembering?</t>
  </si>
  <si>
    <t>LOGGED</t>
  </si>
  <si>
    <t>UNUSED</t>
  </si>
  <si>
    <t>USED</t>
  </si>
  <si>
    <t>DUPLICATES</t>
  </si>
  <si>
    <t>BEST MOMENT ♡</t>
  </si>
  <si>
    <t>FUNNIEST / MOST UNEXPECTED ✦</t>
  </si>
  <si>
    <t>BEST MOMENT ♡ — what would you replay if you could?</t>
  </si>
  <si>
    <t>FUNNIEST / MOST UNEXPECTED ✦ — what caught you off guard?</t>
  </si>
  <si>
    <t>Start with the moment itself — what happened, who was there, and why did it hit?</t>
  </si>
  <si>
    <t>The funny, weird, unplanned thing you’ll still be telling people later…</t>
  </si>
  <si>
    <t>STICKER</t>
  </si>
  <si>
    <t>THEME</t>
  </si>
  <si>
    <t>SOURCE / SHOP</t>
  </si>
  <si>
    <t>SENSORY SNAPSHOT ✦</t>
  </si>
  <si>
    <t>ACQUIRED</t>
  </si>
  <si>
    <t>COST</t>
  </si>
  <si>
    <t>WHAT I CAN STILL SEE + HEAR ♡</t>
  </si>
  <si>
    <t>COLOR</t>
  </si>
  <si>
    <t>STYLE</t>
  </si>
  <si>
    <t>TASTE / SMELL / FEEL ✦</t>
  </si>
  <si>
    <t>USED ON</t>
  </si>
  <si>
    <t>The view, colors, weather, music, voices, light, background noise…</t>
  </si>
  <si>
    <t>NOTES / LINK</t>
  </si>
  <si>
    <t>Food, perfume, salt air, cold wind, warm sun, textures — what brings you right back?</t>
  </si>
  <si>
    <t>WHAT SURPRISED ME ✦ — what wasn’t what you expected?</t>
  </si>
  <si>
    <t>WHAT I LEARNED ♡ — about the place, people, or myself</t>
  </si>
  <si>
    <t>What was better, stranger, harder, sweeter, or totally different than you pictured?</t>
  </si>
  <si>
    <t>About the place, the people, the plan — or yourself. Tiny lessons count too.</t>
  </si>
  <si>
    <t>PEOPLE + CONNECTION ✦ — who made this memory better?</t>
  </si>
  <si>
    <t>THE LITTLE FAVORITES ♡ — food, drink, song, quote, detail</t>
  </si>
  <si>
    <t>Names, conversations, inside jokes, strangers you met, or the person who made the day.</t>
  </si>
  <si>
    <t>Favorite meal, drink, place, song, outfit, purchase, phrase, view — the little stuff.</t>
  </si>
  <si>
    <t>NEXT-TIME NOTES ✦ — what would I do differently?</t>
  </si>
  <si>
    <t>WOULD I DO IT AGAIN? ♡ — absolutely, maybe, or once was enough?</t>
  </si>
  <si>
    <t>Book earlier? Stay longer? Bring something? Skip something? Give future-you the cheat sheet.</t>
  </si>
  <si>
    <t>Why or why not — and who would you bring if you did it again?</t>
  </si>
  <si>
    <t>TINY DETAILS I DON’T WANT TO FORGET ✦</t>
  </si>
  <si>
    <t>The tiny thing future-you would never think to write down later: a phrase, receipt, weather, song, snack, outfit, number, joke…</t>
  </si>
  <si>
    <t>PHOTO / KEEPSAKE / LINK ♡ — drop a memory here</t>
  </si>
  <si>
    <t>DIGITAL STICKER BOARD ♡</t>
  </si>
  <si>
    <t>NOTE TO FUTURE ME ✦ — what do I want to remember about this version of me?</t>
  </si>
  <si>
    <t>Paste a photo link, album, ticket, map, playlist, receipt, reservation, or keepsake note here.</t>
  </si>
  <si>
    <t>Paste images, emojis, screenshots, or little digital stickers into the spaces below. Make it messy, cute, themed, or completely chaotic. ✦</t>
  </si>
  <si>
    <t>What do you want future-you to remember about who you were in this moment?</t>
  </si>
  <si>
    <t>NEXT TIME… ✦ — where does this memory make me want to go or what do I want to try next?</t>
  </si>
  <si>
    <t>Screen Vibe ♡</t>
  </si>
  <si>
    <t>For everything you’re watching, waiting on, loving, or abandoning halfway through.</t>
  </si>
  <si>
    <t>Dashboard Add-On ✦ Start with one page. If your reviews need more room later, Screen Discussion can become the companion sheet.</t>
  </si>
  <si>
    <t>WATCHING</t>
  </si>
  <si>
    <t>WATCHLIST</t>
  </si>
  <si>
    <t>MOVIES</t>
  </si>
  <si>
    <t>CURRENTLY WATCHING ♡</t>
  </si>
  <si>
    <t>UP NEXT ✦</t>
  </si>
  <si>
    <t>TITLE</t>
  </si>
  <si>
    <t>BOARD NOTES ✦</t>
  </si>
  <si>
    <t>PLATFORM</t>
  </si>
  <si>
    <t>SEASON</t>
  </si>
  <si>
    <t>EPISODE</t>
  </si>
  <si>
    <t>WATCHED WITH</t>
  </si>
  <si>
    <t>Sticker-swap ideas, favorite shops, where you want to use one, collection themes, or whatever belongs with your board.</t>
  </si>
  <si>
    <t>REWATCH?</t>
  </si>
  <si>
    <t>NOTES / MINI REVIEW</t>
  </si>
  <si>
    <t>Travel Vibe ♡</t>
  </si>
  <si>
    <t>Dream it, book it, pack for it, then actually enjoy it.</t>
  </si>
  <si>
    <t>Dashboard Add-On ✦ Travel Vibe keeps the master trip list; Trip Details and Packing List are the luxe companion pages.</t>
  </si>
  <si>
    <t>UPCOMING</t>
  </si>
  <si>
    <t>BOOKED</t>
  </si>
  <si>
    <t>COMPLETED</t>
  </si>
  <si>
    <t>TOTAL BUDGET</t>
  </si>
  <si>
    <t>DAYS TO NEXT</t>
  </si>
  <si>
    <t>NEXT TRIP ♡</t>
  </si>
  <si>
    <t>MOST RECENT TRIP ✦</t>
  </si>
  <si>
    <t>TRIP NAME</t>
  </si>
  <si>
    <t>DESTINATION</t>
  </si>
  <si>
    <t>END DATE</t>
  </si>
  <si>
    <t>TRAVELERS</t>
  </si>
  <si>
    <t>EST. BUDGET</t>
  </si>
  <si>
    <t>ACTUAL SPENT</t>
  </si>
  <si>
    <t>TRANSPORTATION</t>
  </si>
  <si>
    <t>LODGING</t>
  </si>
  <si>
    <t>CONFIRMATION / LINK</t>
  </si>
  <si>
    <t>Trip Details ♡</t>
  </si>
  <si>
    <t>The actual plan — without squeezing a whole vacation into one tiny box.</t>
  </si>
  <si>
    <t>Choose a trip from Travel Vibe. Duplicate this page for each trip you want to plan in detail. ✦</t>
  </si>
  <si>
    <t>TRIP</t>
  </si>
  <si>
    <t>DATES</t>
  </si>
  <si>
    <t>Packing Vibe ♡</t>
  </si>
  <si>
    <t>A real checklist you can actually check — plus room for the weird little things only you need.</t>
  </si>
  <si>
    <t>Choose a trip, work through the preset list, then use the Custom rows for anything you refuse to forget. Uncheck the boxes to reset for your next trip. ✦</t>
  </si>
  <si>
    <t>PACKED</t>
  </si>
  <si>
    <t>TRIP VIBE / GOAL ♡</t>
  </si>
  <si>
    <t>STAY + TRANSPORT ✦</t>
  </si>
  <si>
    <t>TOTAL</t>
  </si>
  <si>
    <t>PACKING CHECKLIST ✦</t>
  </si>
  <si>
    <t>CATEGORY</t>
  </si>
  <si>
    <t>ITEM</t>
  </si>
  <si>
    <t>PACKED?</t>
  </si>
  <si>
    <t>BAG</t>
  </si>
  <si>
    <t>QTY</t>
  </si>
  <si>
    <t>Essentials</t>
  </si>
  <si>
    <t>Wallet / cards / cash</t>
  </si>
  <si>
    <t>Keys</t>
  </si>
  <si>
    <t>Medications</t>
  </si>
  <si>
    <t>Reusable water bottle</t>
  </si>
  <si>
    <t>Documents</t>
  </si>
  <si>
    <t>ID / passport</t>
  </si>
  <si>
    <t>Tickets / boarding passes</t>
  </si>
  <si>
    <t>Reservations / confirmations</t>
  </si>
  <si>
    <t>Insurance / emergency info</t>
  </si>
  <si>
    <t>Tech</t>
  </si>
  <si>
    <t>Phone</t>
  </si>
  <si>
    <t>MUST DO ♡</t>
  </si>
  <si>
    <t>Phone charger</t>
  </si>
  <si>
    <t>ACTIVITY / PLACE</t>
  </si>
  <si>
    <t>Power bank</t>
  </si>
  <si>
    <t>PRIORITY</t>
  </si>
  <si>
    <t>BOOKED?</t>
  </si>
  <si>
    <t>Headphones / earbuds</t>
  </si>
  <si>
    <t>Watch charger</t>
  </si>
  <si>
    <t>Laptop / tablet + charger</t>
  </si>
  <si>
    <t>Clothing</t>
  </si>
  <si>
    <t>Underwear</t>
  </si>
  <si>
    <t>Socks</t>
  </si>
  <si>
    <t>Tops</t>
  </si>
  <si>
    <t>Bottoms</t>
  </si>
  <si>
    <t>Pajamas</t>
  </si>
  <si>
    <t>Jacket / sweater</t>
  </si>
  <si>
    <t>Everyday shoes</t>
  </si>
  <si>
    <t>Dressier outfit / shoes</t>
  </si>
  <si>
    <t>Swimwear</t>
  </si>
  <si>
    <t>Accessories / jewelry</t>
  </si>
  <si>
    <t>Toiletries</t>
  </si>
  <si>
    <t>Toothbrush + toothpaste</t>
  </si>
  <si>
    <t>FOOD + RESTAURANTS ✦</t>
  </si>
  <si>
    <t>Deodorant</t>
  </si>
  <si>
    <t>PLACE</t>
  </si>
  <si>
    <t>Skincare</t>
  </si>
  <si>
    <t>RESERVED?</t>
  </si>
  <si>
    <t>Hair care / tools</t>
  </si>
  <si>
    <t>Makeup</t>
  </si>
  <si>
    <t>Razor / grooming</t>
  </si>
  <si>
    <t>Period / personal-care products</t>
  </si>
  <si>
    <t>Sunscreen</t>
  </si>
  <si>
    <t>Comfort</t>
  </si>
  <si>
    <t>Snacks</t>
  </si>
  <si>
    <t>Book / Kindle</t>
  </si>
  <si>
    <t>Neck pillow / blanket</t>
  </si>
  <si>
    <t>Sleep mask / earplugs</t>
  </si>
  <si>
    <t>Destination</t>
  </si>
  <si>
    <t>Sunglasses</t>
  </si>
  <si>
    <t>Hat</t>
  </si>
  <si>
    <t>Umbrella / rain layer</t>
  </si>
  <si>
    <t>Day bag / tote</t>
  </si>
  <si>
    <t>Activity-specific gear</t>
  </si>
  <si>
    <t>Custom</t>
  </si>
  <si>
    <t>DAY-BY-DAY ITINERARY ♡</t>
  </si>
  <si>
    <t>TIME</t>
  </si>
  <si>
    <t>PLAN</t>
  </si>
  <si>
    <t>DONE?</t>
  </si>
  <si>
    <t>RESERVATIONS + CONFIRMATIONS ✦</t>
  </si>
  <si>
    <t>NAME</t>
  </si>
  <si>
    <t>DATE / TIME</t>
  </si>
  <si>
    <t>CONFIRMATION</t>
  </si>
  <si>
    <t>LINK / NOTES</t>
  </si>
  <si>
    <t>Gift + Wishlist Vibe ♡</t>
  </si>
  <si>
    <t>For remembering the people you love — and the things you keep sending yourself links to.</t>
  </si>
  <si>
    <t>Dashboard Add-On ✦ Keep gifts-to-give and wishlists together without turning either one into a chaotic note in your phone.</t>
  </si>
  <si>
    <t>UPCOMING GIFTS</t>
  </si>
  <si>
    <t>GIFT BUDGET</t>
  </si>
  <si>
    <t>GIFT SPENT</t>
  </si>
  <si>
    <t>STILL TO BUY</t>
  </si>
  <si>
    <t>WISHLIST ITEMS</t>
  </si>
  <si>
    <t>WISHLIST TOTAL</t>
  </si>
  <si>
    <t>GIFTS TO GIVE ♡</t>
  </si>
  <si>
    <t>Plan it, buy it, wrap it, give it — no last-minute panic required. ✦</t>
  </si>
  <si>
    <t>RECIPIENT</t>
  </si>
  <si>
    <t>OCCASION</t>
  </si>
  <si>
    <t>GIFT IDEA</t>
  </si>
  <si>
    <t>BUDGET</t>
  </si>
  <si>
    <t>ACTUAL</t>
  </si>
  <si>
    <t>PURCHASED?</t>
  </si>
  <si>
    <t>WRAPPED?</t>
  </si>
  <si>
    <t>GIVEN?</t>
  </si>
  <si>
    <t>STORE / LINK</t>
  </si>
  <si>
    <t>MY WISHLIST ✦</t>
  </si>
  <si>
    <t>Save the pretty, practical, ridiculous, and someday-maybe things in one place.</t>
  </si>
  <si>
    <t>FOR</t>
  </si>
  <si>
    <t>EST. PRICE</t>
  </si>
  <si>
    <t>RECEIVED?</t>
  </si>
  <si>
    <t>BOUGHT MYSELF?</t>
  </si>
  <si>
    <t>ADDED DATE</t>
  </si>
  <si>
    <t>NEED BY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</si>
</sst>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mm/dd/yyyy"/>
    <numFmt numFmtId="166" formatCode="0.0"/>
  </numFmts>
  <fonts count="41">
    <font>
      <sz val="10.0"/>
      <color rgb="FF000000"/>
      <name val="Arial"/>
      <scheme val="minor"/>
    </font>
    <font>
      <b/>
      <sz val="20.0"/>
      <color rgb="FFFFF8ED"/>
      <name val="Georgia"/>
    </font>
    <font>
      <b/>
      <sz val="22.0"/>
      <color rgb="FFFFF8EE"/>
      <name val="Georgia"/>
    </font>
    <font>
      <i/>
      <sz val="9.0"/>
      <color rgb="FF490A1C"/>
      <name val="Aptos"/>
    </font>
    <font>
      <sz val="10.0"/>
      <color rgb="FF2D1C21"/>
      <name val="Aptos"/>
    </font>
    <font>
      <sz val="9.0"/>
      <color rgb="FF490A1C"/>
      <name val="Aptos"/>
    </font>
    <font>
      <b/>
      <sz val="22.0"/>
      <color rgb="FFFFF7ED"/>
      <name val="Georgia"/>
    </font>
    <font>
      <b/>
      <sz val="9.0"/>
      <color rgb="FF490A1C"/>
      <name val="Aptos"/>
    </font>
    <font>
      <i/>
      <sz val="10.0"/>
      <color rgb="FF4A0A1B"/>
      <name val="Aptos"/>
    </font>
    <font>
      <i/>
      <sz val="10.0"/>
      <color rgb="FF6B1028"/>
      <name val="Georgia"/>
    </font>
    <font>
      <i/>
      <sz val="11.0"/>
      <color rgb="FF8D2442"/>
      <name val="Georgia"/>
    </font>
    <font/>
    <font>
      <i/>
      <sz val="9.0"/>
      <color rgb="FF8D2442"/>
      <name val="Aptos"/>
    </font>
    <font>
      <b/>
      <sz val="9.0"/>
      <color rgb="FFFFF7ED"/>
      <name val="Aptos"/>
    </font>
    <font>
      <sz val="9.0"/>
      <color rgb="FF2E1D22"/>
      <name val="Aptos"/>
    </font>
    <font>
      <b/>
      <sz val="13.0"/>
      <color rgb="FFFFF8EE"/>
      <name val="Georgia"/>
    </font>
    <font>
      <b/>
      <sz val="8.0"/>
      <color rgb="FFFFF8EE"/>
      <name val="Aptos"/>
    </font>
    <font>
      <b/>
      <sz val="9.0"/>
      <color rgb="FF490A1C"/>
      <name val="Arial"/>
    </font>
    <font>
      <b/>
      <sz val="13.0"/>
      <color rgb="FF4A0A1B"/>
      <name val="Georgia"/>
    </font>
    <font>
      <b/>
      <i/>
      <sz val="10.0"/>
      <color rgb="FF6B1028"/>
      <name val="Georgia"/>
    </font>
    <font>
      <b/>
      <sz val="14.0"/>
      <color rgb="FF4A0B1C"/>
      <name val="Georgia"/>
    </font>
    <font>
      <b/>
      <sz val="12.0"/>
      <color rgb="FFFFF8EE"/>
      <name val="Georgia"/>
    </font>
    <font>
      <b/>
      <sz val="10.0"/>
      <color rgb="FF6B1028"/>
      <name val="Georgia"/>
    </font>
    <font>
      <color theme="1"/>
      <name val="Arial"/>
      <scheme val="minor"/>
    </font>
    <font>
      <b/>
      <sz val="11.0"/>
      <color rgb="FFFFF8ED"/>
      <name val="Georgia"/>
    </font>
    <font>
      <b/>
      <sz val="11.0"/>
      <color rgb="FFFFF7ED"/>
      <name val="Georgia"/>
    </font>
    <font>
      <b/>
      <i/>
      <sz val="11.0"/>
      <color rgb="FF6B1028"/>
      <name val="Georgia"/>
    </font>
    <font>
      <b/>
      <sz val="10.0"/>
      <color rgb="FF4A0A1B"/>
      <name val="Aptos"/>
    </font>
    <font>
      <sz val="9.0"/>
      <color rgb="FF2E1C21"/>
      <name val="Aptos"/>
    </font>
    <font>
      <b/>
      <sz val="11.0"/>
      <color rgb="FFFFF8EE"/>
      <name val="Georgia"/>
    </font>
    <font>
      <b/>
      <sz val="15.0"/>
      <color rgb="FF4A0B1C"/>
      <name val="Georgia"/>
    </font>
    <font>
      <sz val="9.0"/>
      <color rgb="FF2E1D22"/>
      <name val="Arial"/>
    </font>
    <font>
      <b/>
      <sz val="9.0"/>
      <color rgb="FF4A0A1B"/>
      <name val="Aptos"/>
    </font>
    <font>
      <i/>
      <sz val="9.0"/>
      <color rgb="FF6B1028"/>
      <name val="Aptos"/>
    </font>
    <font>
      <b/>
      <sz val="12.0"/>
      <color rgb="FFFFF7ED"/>
      <name val="Georgia"/>
    </font>
    <font>
      <sz val="9.0"/>
      <color rgb="FF2D1C21"/>
      <name val="Aptos"/>
    </font>
    <font>
      <i/>
      <sz val="9.0"/>
      <color rgb="FF4A0A1B"/>
      <name val="Aptos"/>
    </font>
    <font>
      <i/>
      <sz val="8.0"/>
      <color rgb="FFB85D78"/>
      <name val="Aptos"/>
    </font>
    <font>
      <sz val="9.0"/>
      <color rgb="FF4A0A1B"/>
      <name val="Aptos"/>
    </font>
    <font>
      <b/>
      <sz val="12.0"/>
      <color rgb="FFFFF8ED"/>
      <name val="Georgia"/>
    </font>
    <font>
      <b/>
      <sz val="10.0"/>
      <color rgb="FFFFF8ED"/>
      <name val="Georgia"/>
    </font>
  </fonts>
  <fills count="27">
    <fill>
      <patternFill patternType="none"/>
    </fill>
    <fill>
      <patternFill patternType="lightGray"/>
    </fill>
    <fill>
      <patternFill patternType="solid">
        <fgColor rgb="FF490A1C"/>
        <bgColor rgb="FF490A1C"/>
      </patternFill>
    </fill>
    <fill>
      <patternFill patternType="solid">
        <fgColor rgb="FF4A0B1C"/>
        <bgColor rgb="FF4A0B1C"/>
      </patternFill>
    </fill>
    <fill>
      <patternFill patternType="solid">
        <fgColor rgb="FFFAE9EC"/>
        <bgColor rgb="FFFAE9EC"/>
      </patternFill>
    </fill>
    <fill>
      <patternFill patternType="solid">
        <fgColor rgb="FFFFF8EE"/>
        <bgColor rgb="FFFFF8EE"/>
      </patternFill>
    </fill>
    <fill>
      <patternFill patternType="solid">
        <fgColor rgb="FFFFF8ED"/>
        <bgColor rgb="FFFFF8ED"/>
      </patternFill>
    </fill>
    <fill>
      <patternFill patternType="solid">
        <fgColor rgb="FF6A0F28"/>
        <bgColor rgb="FF6A0F28"/>
      </patternFill>
    </fill>
    <fill>
      <patternFill patternType="solid">
        <fgColor rgb="FFF3DDD4"/>
        <bgColor rgb="FFF3DDD4"/>
      </patternFill>
    </fill>
    <fill>
      <patternFill patternType="solid">
        <fgColor rgb="FFFAE8EC"/>
        <bgColor rgb="FFFAE8EC"/>
      </patternFill>
    </fill>
    <fill>
      <patternFill patternType="solid">
        <fgColor rgb="FFF2D9DE"/>
        <bgColor rgb="FFF2D9DE"/>
      </patternFill>
    </fill>
    <fill>
      <patternFill patternType="solid">
        <fgColor rgb="FFF8EFE4"/>
        <bgColor rgb="FFF8EFE4"/>
      </patternFill>
    </fill>
    <fill>
      <patternFill patternType="solid">
        <fgColor rgb="FF4A0A1B"/>
        <bgColor rgb="FF4A0A1B"/>
      </patternFill>
    </fill>
    <fill>
      <patternFill patternType="solid">
        <fgColor rgb="FF8D2442"/>
        <bgColor rgb="FF8D2442"/>
      </patternFill>
    </fill>
    <fill>
      <patternFill patternType="solid">
        <fgColor rgb="FF6B1028"/>
        <bgColor rgb="FF6B1028"/>
      </patternFill>
    </fill>
    <fill>
      <patternFill patternType="solid">
        <fgColor rgb="FFFFF7ED"/>
        <bgColor rgb="FFFFF7ED"/>
      </patternFill>
    </fill>
    <fill>
      <patternFill patternType="solid">
        <fgColor rgb="FF893A54"/>
        <bgColor rgb="FF893A54"/>
      </patternFill>
    </fill>
    <fill>
      <patternFill patternType="solid">
        <fgColor rgb="FF8A2441"/>
        <bgColor rgb="FF8A2441"/>
      </patternFill>
    </fill>
    <fill>
      <patternFill patternType="solid">
        <fgColor rgb="FFFFFDF8"/>
        <bgColor rgb="FFFFFDF8"/>
      </patternFill>
    </fill>
    <fill>
      <patternFill patternType="solid">
        <fgColor rgb="FF490A1B"/>
        <bgColor rgb="FF490A1B"/>
      </patternFill>
    </fill>
    <fill>
      <patternFill patternType="solid">
        <fgColor theme="0"/>
        <bgColor theme="0"/>
      </patternFill>
    </fill>
    <fill>
      <patternFill patternType="solid">
        <fgColor rgb="FFEFDBC8"/>
        <bgColor rgb="FFEFDBC8"/>
      </patternFill>
    </fill>
    <fill>
      <patternFill patternType="solid">
        <fgColor rgb="FFF2D8DD"/>
        <bgColor rgb="FFF2D8DD"/>
      </patternFill>
    </fill>
    <fill>
      <patternFill patternType="solid">
        <fgColor rgb="FF8C2342"/>
        <bgColor rgb="FF8C2342"/>
      </patternFill>
    </fill>
    <fill>
      <patternFill patternType="solid">
        <fgColor rgb="FFF6E6E2"/>
        <bgColor rgb="FFF6E6E2"/>
      </patternFill>
    </fill>
    <fill>
      <patternFill patternType="solid">
        <fgColor rgb="FFF9E8EB"/>
        <bgColor rgb="FFF9E8EB"/>
      </patternFill>
    </fill>
    <fill>
      <patternFill patternType="solid">
        <fgColor rgb="FFF4E3B5"/>
        <bgColor rgb="FFF4E3B5"/>
      </patternFill>
    </fill>
  </fills>
  <borders count="53">
    <border/>
    <border>
      <left style="thin">
        <color rgb="FFD4AD5E"/>
      </left>
      <right style="thin">
        <color rgb="FFD4AD5E"/>
      </right>
      <top style="thin">
        <color rgb="FFD4AD5E"/>
      </top>
      <bottom style="thin">
        <color rgb="FFD4AD5E"/>
      </bottom>
    </border>
    <border>
      <bottom style="thin">
        <color rgb="FFD5AE5E"/>
      </bottom>
    </border>
    <border>
      <left style="thin">
        <color rgb="FFD5AE5E"/>
      </left>
      <top style="thin">
        <color rgb="FFD5AE5E"/>
      </top>
      <bottom style="thin">
        <color rgb="FFD5AE5E"/>
      </bottom>
    </border>
    <border>
      <right style="thin">
        <color rgb="FFD5AE5E"/>
      </right>
      <top style="thin">
        <color rgb="FFD5AE5E"/>
      </top>
      <bottom style="thin">
        <color rgb="FFD5AE5E"/>
      </bottom>
    </border>
    <border>
      <left style="thin">
        <color rgb="FFD4AD5E"/>
      </left>
      <top style="thin">
        <color rgb="FFD4AD5E"/>
      </top>
      <bottom style="thin">
        <color rgb="FFD4AD5E"/>
      </bottom>
    </border>
    <border>
      <top style="thin">
        <color rgb="FFD4AD5E"/>
      </top>
      <bottom style="thin">
        <color rgb="FFD4AD5E"/>
      </bottom>
    </border>
    <border>
      <right style="thin">
        <color rgb="FFD4AD5E"/>
      </right>
      <top style="thin">
        <color rgb="FFD4AD5E"/>
      </top>
      <bottom style="thin">
        <color rgb="FFD4AD5E"/>
      </bottom>
    </border>
    <border>
      <bottom style="thin">
        <color rgb="FFD5AE5D"/>
      </bottom>
    </border>
    <border>
      <top style="thin">
        <color rgb="FFD5AE5E"/>
      </top>
      <bottom style="thin">
        <color rgb="FFD5AE5E"/>
      </bottom>
    </border>
    <border>
      <left style="thin">
        <color rgb="FFD5AE5E"/>
      </left>
      <top style="thin">
        <color rgb="FFD5AE5E"/>
      </top>
    </border>
    <border>
      <right style="thin">
        <color rgb="FFD5AE5E"/>
      </right>
      <top style="thin">
        <color rgb="FFD5AE5E"/>
      </top>
    </border>
    <border>
      <bottom style="thin">
        <color rgb="FFEEDCC8"/>
      </bottom>
    </border>
    <border>
      <left style="thin">
        <color rgb="FFD4AD5E"/>
      </left>
      <top style="thin">
        <color rgb="FFD4AD5E"/>
      </top>
    </border>
    <border>
      <top style="thin">
        <color rgb="FFD4AD5E"/>
      </top>
    </border>
    <border>
      <right style="thin">
        <color rgb="FFD4AD5E"/>
      </right>
      <top style="thin">
        <color rgb="FFD4AD5E"/>
      </top>
    </border>
    <border>
      <left style="thin">
        <color rgb="FFD4AD5E"/>
      </left>
    </border>
    <border>
      <right style="thin">
        <color rgb="FFD4AD5E"/>
      </right>
    </border>
    <border>
      <left style="thin">
        <color rgb="FFD4AD5E"/>
      </left>
      <bottom style="thin">
        <color rgb="FFD4AD5E"/>
      </bottom>
    </border>
    <border>
      <bottom style="thin">
        <color rgb="FFD4AD5E"/>
      </bottom>
    </border>
    <border>
      <right style="thin">
        <color rgb="FFD4AD5E"/>
      </right>
      <bottom style="thin">
        <color rgb="FFD4AD5E"/>
      </bottom>
    </border>
    <border>
      <left style="thin">
        <color rgb="FFD5AE5E"/>
      </left>
      <bottom style="thin">
        <color rgb="FFD5AE5E"/>
      </bottom>
    </border>
    <border>
      <right style="thin">
        <color rgb="FFD5AE5E"/>
      </right>
      <bottom style="thin">
        <color rgb="FFD5AE5E"/>
      </bottom>
    </border>
    <border>
      <left style="thin">
        <color rgb="FFD5AE5E"/>
      </left>
      <right style="thin">
        <color rgb="FFD5AE5E"/>
      </right>
      <top style="thin">
        <color rgb="FFD5AE5E"/>
      </top>
      <bottom style="thin">
        <color rgb="FFD5AE5E"/>
      </bottom>
    </border>
    <border>
      <bottom style="thin">
        <color rgb="FFEBD7AF"/>
      </bottom>
    </border>
    <border>
      <left style="thin">
        <color rgb="FFD5AE5D"/>
      </left>
      <top style="thin">
        <color rgb="FFD5AE5D"/>
      </top>
    </border>
    <border>
      <top style="thin">
        <color rgb="FFD5AE5D"/>
      </top>
    </border>
    <border>
      <right style="thin">
        <color rgb="FFD5AE5D"/>
      </right>
      <top style="thin">
        <color rgb="FFD5AE5D"/>
      </top>
    </border>
    <border>
      <left style="thin">
        <color rgb="FFD5AE5D"/>
      </left>
    </border>
    <border>
      <right style="thin">
        <color rgb="FFD5AE5D"/>
      </right>
    </border>
    <border>
      <left style="thin">
        <color rgb="FFD5AE5D"/>
      </left>
      <bottom style="thin">
        <color rgb="FFD5AE5D"/>
      </bottom>
    </border>
    <border>
      <right style="thin">
        <color rgb="FFD5AE5D"/>
      </right>
      <bottom style="thin">
        <color rgb="FFD5AE5D"/>
      </bottom>
    </border>
    <border>
      <left style="thin">
        <color rgb="FFD4AE5D"/>
      </left>
      <top style="thin">
        <color rgb="FFD4AE5D"/>
      </top>
      <bottom style="thin">
        <color rgb="FFD4AE5D"/>
      </bottom>
    </border>
    <border>
      <top style="thin">
        <color rgb="FFD4AE5D"/>
      </top>
      <bottom style="thin">
        <color rgb="FFD4AE5D"/>
      </bottom>
    </border>
    <border>
      <right style="thin">
        <color rgb="FFD4AE5D"/>
      </right>
      <top style="thin">
        <color rgb="FFD4AE5D"/>
      </top>
      <bottom style="thin">
        <color rgb="FFD4AE5D"/>
      </bottom>
    </border>
    <border>
      <left style="thin">
        <color rgb="FFD4AE5D"/>
      </left>
      <top style="thin">
        <color rgb="FFD4AE5D"/>
      </top>
    </border>
    <border>
      <top style="thin">
        <color rgb="FFD4AE5D"/>
      </top>
    </border>
    <border>
      <right style="thin">
        <color rgb="FFD4AE5D"/>
      </right>
      <top style="thin">
        <color rgb="FFD4AE5D"/>
      </top>
    </border>
    <border>
      <left>
        <color rgb="FFD5AE5D"/>
      </left>
      <right>
        <color rgb="FFD5AE5D"/>
      </right>
      <top>
        <color rgb="FFD5AE5D"/>
      </top>
      <bottom>
        <color rgb="FFD5AE5D"/>
      </bottom>
    </border>
    <border>
      <left style="thin">
        <color rgb="FFD4AE5D"/>
      </left>
    </border>
    <border>
      <right style="thin">
        <color rgb="FFD4AE5D"/>
      </right>
    </border>
    <border>
      <left style="thin">
        <color rgb="FFD4AE5D"/>
      </left>
      <bottom style="thin">
        <color rgb="FFD4AE5D"/>
      </bottom>
    </border>
    <border>
      <bottom style="thin">
        <color rgb="FFD4AE5D"/>
      </bottom>
    </border>
    <border>
      <right style="thin">
        <color rgb="FFD4AE5D"/>
      </right>
      <bottom style="thin">
        <color rgb="FFD4AE5D"/>
      </bottom>
    </border>
    <border>
      <left>
        <color rgb="FFD5AE5D"/>
      </left>
      <top>
        <color rgb="FFD5AE5D"/>
      </top>
    </border>
    <border>
      <top>
        <color rgb="FFD5AE5D"/>
      </top>
    </border>
    <border>
      <right>
        <color rgb="FFD5AE5D"/>
      </right>
      <top>
        <color rgb="FFD5AE5D"/>
      </top>
    </border>
    <border>
      <left>
        <color rgb="FFD5AE5D"/>
      </left>
    </border>
    <border>
      <right>
        <color rgb="FFD5AE5D"/>
      </right>
    </border>
    <border>
      <left>
        <color rgb="FFD5AE5D"/>
      </left>
      <bottom>
        <color rgb="FFD5AE5D"/>
      </bottom>
    </border>
    <border>
      <bottom>
        <color rgb="FFD5AE5D"/>
      </bottom>
    </border>
    <border>
      <right>
        <color rgb="FFD5AE5D"/>
      </right>
      <bottom>
        <color rgb="FFD5AE5D"/>
      </bottom>
    </border>
    <border>
      <bottom style="thin">
        <color rgb="FFEDDAE2"/>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horizontal="left"/>
    </xf>
    <xf borderId="0" fillId="4" fontId="3" numFmtId="0" xfId="0" applyAlignment="1" applyFill="1" applyFont="1">
      <alignment readingOrder="0" shrinkToFit="0" vertical="center" wrapText="1"/>
    </xf>
    <xf borderId="0" fillId="5" fontId="4" numFmtId="0" xfId="0" applyAlignment="1" applyFill="1" applyFont="1">
      <alignment shrinkToFit="0" vertical="center" wrapText="1"/>
    </xf>
    <xf borderId="0" fillId="6" fontId="5" numFmtId="0" xfId="0" applyAlignment="1" applyFill="1" applyFont="1">
      <alignment shrinkToFit="0" vertical="top" wrapText="1"/>
    </xf>
    <xf borderId="0" fillId="3" fontId="2" numFmtId="0" xfId="0" applyAlignment="1" applyFill="1" applyFont="1">
      <alignment horizontal="left" readingOrder="0" vertical="center"/>
    </xf>
    <xf borderId="0" fillId="7" fontId="6" numFmtId="0" xfId="0" applyAlignment="1" applyFill="1" applyFont="1">
      <alignment horizontal="left" vertical="center"/>
    </xf>
    <xf borderId="1" fillId="8" fontId="7" numFmtId="0" xfId="0" applyAlignment="1" applyBorder="1" applyFill="1" applyFont="1">
      <alignment readingOrder="0" shrinkToFit="0" vertical="center" wrapText="1"/>
    </xf>
    <xf borderId="0" fillId="9" fontId="8" numFmtId="0" xfId="0" applyAlignment="1" applyFill="1" applyFont="1">
      <alignment shrinkToFit="0" vertical="center" wrapText="1"/>
    </xf>
    <xf borderId="0" fillId="10" fontId="9" numFmtId="0" xfId="0" applyAlignment="1" applyFill="1" applyFont="1">
      <alignment horizontal="left" readingOrder="0" vertical="center"/>
    </xf>
    <xf borderId="2" fillId="11" fontId="10" numFmtId="0" xfId="0" applyBorder="1" applyFill="1" applyFont="1"/>
    <xf borderId="0" fillId="5" fontId="12" numFmtId="0" xfId="0" applyAlignment="1" applyFill="1" applyFont="1">
      <alignment horizontal="left" readingOrder="0" vertical="center"/>
    </xf>
    <xf borderId="2" fillId="0" fontId="11" numFmtId="0" xfId="0" applyBorder="1" applyFont="1"/>
    <xf borderId="0" fillId="12" fontId="13" numFmtId="0" xfId="0" applyAlignment="1" applyFill="1" applyFont="1">
      <alignment horizontal="center" vertical="center"/>
    </xf>
    <xf borderId="0" fillId="5" fontId="14" numFmtId="0" xfId="0" applyAlignment="1" applyFill="1" applyFont="1">
      <alignment vertical="center"/>
    </xf>
    <xf borderId="2" fillId="13" fontId="15" numFmtId="0" xfId="0" applyBorder="1" applyFill="1" applyFont="1"/>
    <xf borderId="3" fillId="14" fontId="16" numFmtId="0" xfId="0" applyAlignment="1" applyBorder="1" applyFill="1" applyFont="1">
      <alignment horizontal="center" readingOrder="0" shrinkToFit="0" vertical="center" wrapText="1"/>
    </xf>
    <xf borderId="4" fillId="0" fontId="11" numFmtId="0" xfId="0" applyBorder="1" applyFont="1"/>
    <xf borderId="5" fillId="8" fontId="17" numFmtId="0" xfId="0" applyAlignment="1" applyBorder="1" applyFill="1" applyFont="1">
      <alignment readingOrder="0" shrinkToFit="0" vertical="center" wrapText="1"/>
    </xf>
    <xf borderId="6" fillId="0" fontId="11" numFmtId="0" xfId="0" applyBorder="1" applyFont="1"/>
    <xf borderId="7" fillId="0" fontId="11" numFmtId="0" xfId="0" applyBorder="1" applyFont="1"/>
    <xf borderId="8" fillId="15" fontId="18" numFmtId="0" xfId="0" applyAlignment="1" applyBorder="1" applyFill="1" applyFont="1">
      <alignment horizontal="center" vertical="center"/>
    </xf>
    <xf borderId="8" fillId="0" fontId="11" numFmtId="0" xfId="0" applyBorder="1" applyFont="1"/>
    <xf borderId="9" fillId="10" fontId="19" numFmtId="0" xfId="0" applyBorder="1" applyFill="1" applyFont="1"/>
    <xf borderId="9" fillId="0" fontId="11" numFmtId="0" xfId="0" applyBorder="1" applyFont="1"/>
    <xf borderId="1" fillId="8" fontId="7" numFmtId="0" xfId="0" applyAlignment="1" applyBorder="1" applyFill="1" applyFont="1">
      <alignment shrinkToFit="0" vertical="center" wrapText="1"/>
    </xf>
    <xf borderId="10" fillId="4" fontId="20" numFmtId="0" xfId="0" applyAlignment="1" applyBorder="1" applyFill="1" applyFont="1">
      <alignment horizontal="center" vertical="center"/>
    </xf>
    <xf borderId="11" fillId="0" fontId="11" numFmtId="0" xfId="0" applyBorder="1" applyFont="1"/>
    <xf borderId="0" fillId="14" fontId="21" numFmtId="0" xfId="0" applyFill="1" applyFont="1"/>
    <xf borderId="10" fillId="4" fontId="20" numFmtId="0" xfId="0" applyAlignment="1" applyBorder="1" applyFill="1" applyFont="1">
      <alignment horizontal="center" readingOrder="0" vertical="center"/>
    </xf>
    <xf borderId="12" fillId="5" fontId="22" numFmtId="0" xfId="0" applyBorder="1" applyFill="1" applyFont="1"/>
    <xf borderId="12" fillId="5" fontId="23" numFmtId="0" xfId="0" applyBorder="1" applyFill="1" applyFont="1"/>
    <xf borderId="8" fillId="15" fontId="18" numFmtId="164" xfId="0" applyAlignment="1" applyBorder="1" applyFill="1" applyFont="1" applyNumberFormat="1">
      <alignment horizontal="center" vertical="center"/>
    </xf>
    <xf borderId="5" fillId="8" fontId="7" numFmtId="0" xfId="0" applyAlignment="1" applyBorder="1" applyFill="1" applyFont="1">
      <alignment shrinkToFit="0" vertical="center" wrapText="1"/>
    </xf>
    <xf borderId="1" fillId="8" fontId="7" numFmtId="165" xfId="0" applyAlignment="1" applyBorder="1" applyFill="1" applyFont="1" applyNumberFormat="1">
      <alignment shrinkToFit="0" vertical="center" wrapText="1"/>
    </xf>
    <xf borderId="0" fillId="16" fontId="24" numFmtId="0" xfId="0" applyAlignment="1" applyFill="1" applyFont="1">
      <alignment readingOrder="0" shrinkToFit="0" vertical="center" wrapText="1"/>
    </xf>
    <xf borderId="0" fillId="13" fontId="21" numFmtId="0" xfId="0" applyFill="1" applyFont="1"/>
    <xf borderId="13" fillId="6" fontId="5" numFmtId="0" xfId="0" applyAlignment="1" applyBorder="1" applyFill="1" applyFont="1">
      <alignment readingOrder="0" shrinkToFit="0" vertical="top" wrapText="1"/>
    </xf>
    <xf borderId="14" fillId="0" fontId="11" numFmtId="0" xfId="0" applyBorder="1" applyFont="1"/>
    <xf borderId="15" fillId="0" fontId="11" numFmtId="0" xfId="0" applyBorder="1" applyFont="1"/>
    <xf borderId="16" fillId="0" fontId="11" numFmtId="0" xfId="0" applyBorder="1" applyFont="1"/>
    <xf borderId="17" fillId="0" fontId="11" numFmtId="0" xfId="0" applyBorder="1" applyFont="1"/>
    <xf borderId="18" fillId="0" fontId="11" numFmtId="0" xfId="0" applyBorder="1" applyFont="1"/>
    <xf borderId="0" fillId="17" fontId="25" numFmtId="0" xfId="0" applyAlignment="1" applyFill="1" applyFont="1">
      <alignment horizontal="left" vertical="center"/>
    </xf>
    <xf borderId="19" fillId="0" fontId="11" numFmtId="0" xfId="0" applyBorder="1" applyFont="1"/>
    <xf borderId="9" fillId="10" fontId="26" numFmtId="0" xfId="0" applyAlignment="1" applyBorder="1" applyFill="1" applyFont="1">
      <alignment horizontal="center"/>
    </xf>
    <xf borderId="20" fillId="0" fontId="11" numFmtId="0" xfId="0" applyBorder="1" applyFont="1"/>
    <xf borderId="1" fillId="6" fontId="5" numFmtId="0" xfId="0" applyAlignment="1" applyBorder="1" applyFill="1" applyFont="1">
      <alignment shrinkToFit="0" vertical="top" wrapText="1"/>
    </xf>
    <xf borderId="10" fillId="4" fontId="20" numFmtId="166" xfId="0" applyAlignment="1" applyBorder="1" applyFill="1" applyFont="1" applyNumberFormat="1">
      <alignment horizontal="center" vertical="center"/>
    </xf>
    <xf borderId="5" fillId="16" fontId="24" numFmtId="0" xfId="0" applyAlignment="1" applyBorder="1" applyFill="1" applyFont="1">
      <alignment readingOrder="0" shrinkToFit="0" vertical="center" wrapText="1"/>
    </xf>
    <xf borderId="0" fillId="15" fontId="27" numFmtId="0" xfId="0" applyAlignment="1" applyFill="1" applyFont="1">
      <alignment horizontal="left" shrinkToFit="0" vertical="center" wrapText="1"/>
    </xf>
    <xf borderId="0" fillId="12" fontId="13" numFmtId="0" xfId="0" applyAlignment="1" applyFill="1" applyFont="1">
      <alignment horizontal="center" shrinkToFit="0" vertical="center" wrapText="1"/>
    </xf>
    <xf borderId="21" fillId="0" fontId="11" numFmtId="0" xfId="0" applyBorder="1" applyFont="1"/>
    <xf borderId="22" fillId="0" fontId="11" numFmtId="0" xfId="0" applyBorder="1" applyFont="1"/>
    <xf borderId="0" fillId="15" fontId="28" numFmtId="0" xfId="0" applyAlignment="1" applyFill="1" applyFont="1">
      <alignment shrinkToFit="0" vertical="center" wrapText="1"/>
    </xf>
    <xf borderId="0" fillId="13" fontId="29" numFmtId="0" xfId="0" applyAlignment="1" applyFill="1" applyFont="1">
      <alignment horizontal="left" readingOrder="0" vertical="center"/>
    </xf>
    <xf borderId="0" fillId="15" fontId="28" numFmtId="165" xfId="0" applyAlignment="1" applyFill="1" applyFont="1" applyNumberFormat="1">
      <alignment shrinkToFit="0" vertical="center" wrapText="1"/>
    </xf>
    <xf borderId="0" fillId="15" fontId="28" numFmtId="164" xfId="0" applyAlignment="1" applyFill="1" applyFont="1" applyNumberFormat="1">
      <alignment shrinkToFit="0" vertical="center" wrapText="1"/>
    </xf>
    <xf borderId="0" fillId="18" fontId="30" numFmtId="0" xfId="0" applyAlignment="1" applyFill="1" applyFont="1">
      <alignment horizontal="center" shrinkToFit="0" vertical="center" wrapText="1"/>
    </xf>
    <xf borderId="0" fillId="9" fontId="28" numFmtId="0" xfId="0" applyAlignment="1" applyFill="1" applyFont="1">
      <alignment shrinkToFit="0" vertical="center" wrapText="1"/>
    </xf>
    <xf borderId="0" fillId="9" fontId="28" numFmtId="165" xfId="0" applyAlignment="1" applyFill="1" applyFont="1" applyNumberFormat="1">
      <alignment shrinkToFit="0" vertical="center" wrapText="1"/>
    </xf>
    <xf borderId="0" fillId="9" fontId="28" numFmtId="164" xfId="0" applyAlignment="1" applyFill="1" applyFont="1" applyNumberFormat="1">
      <alignment shrinkToFit="0" vertical="center" wrapText="1"/>
    </xf>
    <xf borderId="0" fillId="10" fontId="12" numFmtId="0" xfId="0" applyAlignment="1" applyFill="1" applyFont="1">
      <alignment horizontal="center" vertical="center"/>
    </xf>
    <xf borderId="23" fillId="3" fontId="16" numFmtId="0" xfId="0" applyAlignment="1" applyBorder="1" applyFill="1" applyFont="1">
      <alignment horizontal="center" readingOrder="0" shrinkToFit="0" vertical="center" wrapText="1"/>
    </xf>
    <xf borderId="0" fillId="6" fontId="5" numFmtId="0" xfId="0" applyAlignment="1" applyFill="1" applyFont="1">
      <alignment readingOrder="0" shrinkToFit="0" vertical="top" wrapText="1"/>
    </xf>
    <xf borderId="0" fillId="6" fontId="5" numFmtId="0" xfId="0" applyAlignment="1" applyFill="1" applyFont="1">
      <alignment readingOrder="0" shrinkToFit="0" vertical="top" wrapText="1"/>
    </xf>
    <xf borderId="24" fillId="5" fontId="31" numFmtId="0" xfId="0" applyAlignment="1" applyBorder="1" applyFill="1" applyFont="1">
      <alignment readingOrder="0" shrinkToFit="0" vertical="center" wrapText="1"/>
    </xf>
    <xf borderId="0" fillId="19" fontId="5" numFmtId="0" xfId="0" applyAlignment="1" applyFill="1" applyFont="1">
      <alignment shrinkToFit="0" vertical="top" wrapText="1"/>
    </xf>
    <xf borderId="0" fillId="7" fontId="6" numFmtId="0" xfId="0" applyAlignment="1" applyFill="1" applyFont="1">
      <alignment vertical="center"/>
    </xf>
    <xf borderId="24" fillId="5" fontId="14" numFmtId="0" xfId="0" applyAlignment="1" applyBorder="1" applyFill="1" applyFont="1">
      <alignment shrinkToFit="0" vertical="center" wrapText="1"/>
    </xf>
    <xf borderId="24" fillId="5" fontId="14" numFmtId="165" xfId="0" applyAlignment="1" applyBorder="1" applyFill="1" applyFont="1" applyNumberFormat="1">
      <alignment shrinkToFit="0" vertical="center" wrapText="1"/>
    </xf>
    <xf borderId="8" fillId="15" fontId="32" numFmtId="0" xfId="0" applyAlignment="1" applyBorder="1" applyFill="1" applyFont="1">
      <alignment shrinkToFit="0" vertical="center" wrapText="1"/>
    </xf>
    <xf borderId="24" fillId="5" fontId="14" numFmtId="0" xfId="0" applyAlignment="1" applyBorder="1" applyFill="1" applyFont="1">
      <alignment readingOrder="0" shrinkToFit="0" vertical="center" wrapText="1"/>
    </xf>
    <xf borderId="24" fillId="4" fontId="31" numFmtId="0" xfId="0" applyAlignment="1" applyBorder="1" applyFill="1" applyFont="1">
      <alignment readingOrder="0" shrinkToFit="0" vertical="center" wrapText="1"/>
    </xf>
    <xf borderId="24" fillId="4" fontId="14" numFmtId="0" xfId="0" applyAlignment="1" applyBorder="1" applyFill="1" applyFont="1">
      <alignment shrinkToFit="0" vertical="center" wrapText="1"/>
    </xf>
    <xf borderId="24" fillId="4" fontId="14" numFmtId="165" xfId="0" applyAlignment="1" applyBorder="1" applyFill="1" applyFont="1" applyNumberFormat="1">
      <alignment shrinkToFit="0" vertical="center" wrapText="1"/>
    </xf>
    <xf borderId="0" fillId="9" fontId="8" numFmtId="0" xfId="0" applyAlignment="1" applyFill="1" applyFont="1">
      <alignment readingOrder="0" shrinkToFit="0" vertical="center" wrapText="1"/>
    </xf>
    <xf borderId="0" fillId="4" fontId="33" numFmtId="0" xfId="0" applyAlignment="1" applyFill="1" applyFont="1">
      <alignment horizontal="left" readingOrder="0" shrinkToFit="0" vertical="center" wrapText="1"/>
    </xf>
    <xf borderId="0" fillId="17" fontId="25" numFmtId="0" xfId="0" applyAlignment="1" applyFill="1" applyFont="1">
      <alignment vertical="center"/>
    </xf>
    <xf borderId="0" fillId="15" fontId="28" numFmtId="0" xfId="0" applyAlignment="1" applyFill="1" applyFont="1">
      <alignment shrinkToFit="0" vertical="top" wrapText="1"/>
    </xf>
    <xf borderId="0" fillId="20" fontId="23" numFmtId="0" xfId="0" applyBorder="1" applyFill="1" applyFont="1"/>
    <xf borderId="25" fillId="15" fontId="28" numFmtId="0" xfId="0" applyAlignment="1" applyBorder="1" applyFill="1" applyFont="1">
      <alignment shrinkToFit="0" vertical="top" wrapText="1"/>
    </xf>
    <xf borderId="26" fillId="0" fontId="11" numFmtId="0" xfId="0" applyBorder="1" applyFont="1"/>
    <xf borderId="27" fillId="0" fontId="11" numFmtId="0" xfId="0" applyBorder="1" applyFont="1"/>
    <xf borderId="28" fillId="0" fontId="11" numFmtId="0" xfId="0" applyBorder="1" applyFont="1"/>
    <xf borderId="29" fillId="0" fontId="11" numFmtId="0" xfId="0" applyBorder="1" applyFont="1"/>
    <xf borderId="0" fillId="20" fontId="34" numFmtId="0" xfId="0" applyAlignment="1" applyBorder="1" applyFill="1" applyFont="1">
      <alignment horizontal="center" vertical="center"/>
    </xf>
    <xf borderId="30" fillId="0" fontId="11" numFmtId="0" xfId="0" applyBorder="1" applyFont="1"/>
    <xf borderId="31" fillId="0" fontId="11" numFmtId="0" xfId="0" applyBorder="1" applyFont="1"/>
    <xf borderId="32" fillId="21" fontId="7" numFmtId="0" xfId="0" applyAlignment="1" applyBorder="1" applyFill="1" applyFont="1">
      <alignment shrinkToFit="0" vertical="center" wrapText="1"/>
    </xf>
    <xf borderId="33" fillId="0" fontId="11" numFmtId="0" xfId="0" applyBorder="1" applyFont="1"/>
    <xf borderId="34" fillId="0" fontId="11" numFmtId="0" xfId="0" applyBorder="1" applyFont="1"/>
    <xf borderId="0" fillId="6" fontId="35" numFmtId="0" xfId="0" applyAlignment="1" applyFill="1" applyFont="1">
      <alignment shrinkToFit="0" vertical="top" wrapText="1"/>
    </xf>
    <xf borderId="32" fillId="22" fontId="7" numFmtId="0" xfId="0" applyAlignment="1" applyBorder="1" applyFill="1" applyFont="1">
      <alignment shrinkToFit="0" vertical="center" wrapText="1"/>
    </xf>
    <xf borderId="0" fillId="20" fontId="36" numFmtId="0" xfId="0" applyAlignment="1" applyBorder="1" applyFill="1" applyFont="1">
      <alignment horizontal="center" shrinkToFit="0" vertical="center" wrapText="1"/>
    </xf>
    <xf borderId="35" fillId="6" fontId="37" numFmtId="0" xfId="0" applyAlignment="1" applyBorder="1" applyFill="1" applyFont="1">
      <alignment readingOrder="0" shrinkToFit="0" vertical="top" wrapText="1"/>
    </xf>
    <xf borderId="36" fillId="0" fontId="11" numFmtId="0" xfId="0" applyBorder="1" applyFont="1"/>
    <xf borderId="37" fillId="0" fontId="11" numFmtId="0" xfId="0" applyBorder="1" applyFont="1"/>
    <xf borderId="27" fillId="6" fontId="37" numFmtId="0" xfId="0" applyAlignment="1" applyBorder="1" applyFill="1" applyFont="1">
      <alignment shrinkToFit="0" vertical="top" wrapText="1"/>
    </xf>
    <xf borderId="38" fillId="20" fontId="23" numFmtId="0" xfId="0" applyBorder="1" applyFill="1" applyFont="1"/>
    <xf borderId="39" fillId="0" fontId="11" numFmtId="0" xfId="0" applyBorder="1" applyFont="1"/>
    <xf borderId="40" fillId="0" fontId="11" numFmtId="0" xfId="0" applyBorder="1" applyFont="1"/>
    <xf borderId="29" fillId="6" fontId="35" numFmtId="0" xfId="0" applyAlignment="1" applyBorder="1" applyFill="1" applyFont="1">
      <alignment shrinkToFit="0" vertical="top" wrapText="1"/>
    </xf>
    <xf borderId="41" fillId="0" fontId="11" numFmtId="0" xfId="0" applyBorder="1" applyFont="1"/>
    <xf borderId="42" fillId="0" fontId="11" numFmtId="0" xfId="0" applyBorder="1" applyFont="1"/>
    <xf borderId="43" fillId="0" fontId="11" numFmtId="0" xfId="0" applyBorder="1" applyFont="1"/>
    <xf borderId="31" fillId="6" fontId="35" numFmtId="0" xfId="0" applyAlignment="1" applyBorder="1" applyFill="1" applyFont="1">
      <alignment shrinkToFit="0" vertical="top" wrapText="1"/>
    </xf>
    <xf borderId="0" fillId="23" fontId="24" numFmtId="0" xfId="0" applyAlignment="1" applyFill="1" applyFont="1">
      <alignment horizontal="left" vertical="center"/>
    </xf>
    <xf borderId="42" fillId="24" fontId="7" numFmtId="0" xfId="0" applyAlignment="1" applyBorder="1" applyFill="1" applyFont="1">
      <alignment shrinkToFit="0" vertical="center" wrapText="1"/>
    </xf>
    <xf borderId="27" fillId="6" fontId="35" numFmtId="0" xfId="0" applyAlignment="1" applyBorder="1" applyFill="1" applyFont="1">
      <alignment shrinkToFit="0" vertical="top" wrapText="1"/>
    </xf>
    <xf borderId="29" fillId="6" fontId="37" numFmtId="0" xfId="0" applyAlignment="1" applyBorder="1" applyFill="1" applyFont="1">
      <alignment shrinkToFit="0" vertical="top" wrapText="1"/>
    </xf>
    <xf borderId="0" fillId="6" fontId="35" numFmtId="0" xfId="0" applyAlignment="1" applyFill="1" applyFont="1">
      <alignment readingOrder="0" shrinkToFit="0" vertical="top" wrapText="1"/>
    </xf>
    <xf borderId="0" fillId="6" fontId="35" numFmtId="0" xfId="0" applyAlignment="1" applyFill="1" applyFont="1">
      <alignment horizontal="center" shrinkToFit="0" vertical="top" wrapText="1"/>
    </xf>
    <xf borderId="25" fillId="6" fontId="37" numFmtId="0" xfId="0" applyAlignment="1" applyBorder="1" applyFill="1" applyFont="1">
      <alignment shrinkToFit="0" vertical="top" wrapText="1"/>
    </xf>
    <xf borderId="28" fillId="6" fontId="35" numFmtId="0" xfId="0" applyAlignment="1" applyBorder="1" applyFill="1" applyFont="1">
      <alignment shrinkToFit="0" vertical="top" wrapText="1"/>
    </xf>
    <xf borderId="30" fillId="6" fontId="35" numFmtId="0" xfId="0" applyAlignment="1" applyBorder="1" applyFill="1" applyFont="1">
      <alignment shrinkToFit="0" vertical="top" wrapText="1"/>
    </xf>
    <xf borderId="0" fillId="20" fontId="25" numFmtId="0" xfId="0" applyAlignment="1" applyBorder="1" applyFill="1" applyFont="1">
      <alignment vertical="center"/>
    </xf>
    <xf borderId="44" fillId="20" fontId="38" numFmtId="0" xfId="0" applyAlignment="1" applyBorder="1" applyFill="1" applyFont="1">
      <alignment shrinkToFit="0" vertical="top" wrapText="1"/>
    </xf>
    <xf borderId="45" fillId="20" fontId="38" numFmtId="0" xfId="0" applyAlignment="1" applyBorder="1" applyFill="1" applyFont="1">
      <alignment shrinkToFit="0" vertical="top" wrapText="1"/>
    </xf>
    <xf borderId="46" fillId="20" fontId="38" numFmtId="0" xfId="0" applyAlignment="1" applyBorder="1" applyFill="1" applyFont="1">
      <alignment shrinkToFit="0" vertical="top" wrapText="1"/>
    </xf>
    <xf borderId="26" fillId="6" fontId="35" numFmtId="0" xfId="0" applyAlignment="1" applyBorder="1" applyFill="1" applyFont="1">
      <alignment shrinkToFit="0" vertical="top" wrapText="1"/>
    </xf>
    <xf borderId="47" fillId="20" fontId="38" numFmtId="0" xfId="0" applyAlignment="1" applyBorder="1" applyFill="1" applyFont="1">
      <alignment shrinkToFit="0" vertical="top" wrapText="1"/>
    </xf>
    <xf borderId="0" fillId="20" fontId="38" numFmtId="0" xfId="0" applyAlignment="1" applyBorder="1" applyFill="1" applyFont="1">
      <alignment shrinkToFit="0" vertical="top" wrapText="1"/>
    </xf>
    <xf borderId="48" fillId="20" fontId="38" numFmtId="0" xfId="0" applyAlignment="1" applyBorder="1" applyFill="1" applyFont="1">
      <alignment shrinkToFit="0" vertical="top" wrapText="1"/>
    </xf>
    <xf borderId="0" fillId="6" fontId="37" numFmtId="0" xfId="0" applyAlignment="1" applyFill="1" applyFont="1">
      <alignment shrinkToFit="0" vertical="top" wrapText="1"/>
    </xf>
    <xf borderId="8" fillId="6" fontId="35" numFmtId="0" xfId="0" applyAlignment="1" applyBorder="1" applyFill="1" applyFont="1">
      <alignment shrinkToFit="0" vertical="top" wrapText="1"/>
    </xf>
    <xf borderId="0" fillId="2" fontId="24" numFmtId="0" xfId="0" applyAlignment="1" applyFill="1" applyFont="1">
      <alignment horizontal="left" vertical="center"/>
    </xf>
    <xf borderId="49" fillId="20" fontId="38" numFmtId="0" xfId="0" applyAlignment="1" applyBorder="1" applyFill="1" applyFont="1">
      <alignment shrinkToFit="0" vertical="top" wrapText="1"/>
    </xf>
    <xf borderId="50" fillId="20" fontId="38" numFmtId="0" xfId="0" applyAlignment="1" applyBorder="1" applyFill="1" applyFont="1">
      <alignment shrinkToFit="0" vertical="top" wrapText="1"/>
    </xf>
    <xf borderId="51" fillId="20" fontId="38" numFmtId="0" xfId="0" applyAlignment="1" applyBorder="1" applyFill="1" applyFont="1">
      <alignment shrinkToFit="0" vertical="top" wrapText="1"/>
    </xf>
    <xf borderId="42" fillId="21" fontId="7" numFmtId="0" xfId="0" applyAlignment="1" applyBorder="1" applyFill="1" applyFont="1">
      <alignment shrinkToFit="0" vertical="center" wrapText="1"/>
    </xf>
    <xf borderId="0" fillId="23" fontId="39" numFmtId="0" xfId="0" applyAlignment="1" applyFill="1" applyFont="1">
      <alignment horizontal="center" vertical="center"/>
    </xf>
    <xf borderId="42" fillId="22" fontId="7" numFmtId="0" xfId="0" applyAlignment="1" applyBorder="1" applyFill="1" applyFont="1">
      <alignment shrinkToFit="0" vertical="center" wrapText="1"/>
    </xf>
    <xf borderId="0" fillId="25" fontId="3" numFmtId="0" xfId="0" applyAlignment="1" applyFill="1" applyFont="1">
      <alignment horizontal="center" shrinkToFit="0" vertical="center" wrapText="1"/>
    </xf>
    <xf borderId="0" fillId="23" fontId="40" numFmtId="0" xfId="0" applyAlignment="1" applyFill="1" applyFont="1">
      <alignment horizontal="left" shrinkToFit="0" vertical="center" wrapText="1"/>
    </xf>
    <xf borderId="35" fillId="6" fontId="23" numFmtId="0" xfId="0" applyBorder="1" applyFill="1" applyFont="1"/>
    <xf borderId="35" fillId="6" fontId="35" numFmtId="0" xfId="0" applyAlignment="1" applyBorder="1" applyFill="1" applyFont="1">
      <alignment shrinkToFit="0" vertical="top" wrapText="1"/>
    </xf>
    <xf borderId="35" fillId="25" fontId="23" numFmtId="0" xfId="0" applyBorder="1" applyFill="1" applyFont="1"/>
    <xf borderId="35" fillId="21" fontId="23" numFmtId="0" xfId="0" applyBorder="1" applyFill="1" applyFont="1"/>
    <xf borderId="0" fillId="15" fontId="27" numFmtId="0" xfId="0" applyAlignment="1" applyFill="1" applyFont="1">
      <alignment shrinkToFit="0" vertical="center" wrapText="1"/>
    </xf>
    <xf borderId="35" fillId="6" fontId="5" numFmtId="0" xfId="0" applyAlignment="1" applyBorder="1" applyFill="1" applyFont="1">
      <alignment shrinkToFit="0" vertical="top" wrapText="1"/>
    </xf>
    <xf borderId="8" fillId="15" fontId="28" numFmtId="0" xfId="0" applyAlignment="1" applyBorder="1" applyFill="1" applyFont="1">
      <alignment shrinkToFit="0" vertical="top" wrapText="1"/>
    </xf>
    <xf borderId="0" fillId="12" fontId="13" numFmtId="0" xfId="0" applyAlignment="1" applyFill="1" applyFont="1">
      <alignment horizontal="center" shrinkToFit="0" vertical="center" wrapText="1"/>
    </xf>
    <xf borderId="0" fillId="26" fontId="32" numFmtId="0" xfId="0" applyFill="1" applyFont="1"/>
    <xf borderId="52" fillId="15" fontId="28" numFmtId="0" xfId="0" applyAlignment="1" applyBorder="1" applyFill="1" applyFont="1">
      <alignment shrinkToFit="0" vertical="center" wrapText="1"/>
    </xf>
    <xf borderId="0" fillId="12" fontId="25" numFmtId="0" xfId="0" applyAlignment="1" applyFill="1" applyFont="1">
      <alignment vertical="center"/>
    </xf>
    <xf borderId="0" fillId="26" fontId="32" numFmtId="0" xfId="0" applyAlignment="1" applyFill="1" applyFont="1">
      <alignment horizontal="center" shrinkToFit="0" vertical="center" wrapText="1"/>
    </xf>
    <xf borderId="52" fillId="15" fontId="28" numFmtId="0" xfId="0" applyAlignment="1" applyBorder="1" applyFill="1" applyFont="1">
      <alignment shrinkToFit="0" vertical="center" wrapText="1"/>
    </xf>
    <xf borderId="52" fillId="9" fontId="28" numFmtId="0" xfId="0" applyAlignment="1" applyBorder="1" applyFill="1" applyFont="1">
      <alignment shrinkToFit="0" vertical="center" wrapText="1"/>
    </xf>
    <xf borderId="52" fillId="15" fontId="28" numFmtId="165" xfId="0" applyAlignment="1" applyBorder="1" applyFill="1" applyFont="1" applyNumberFormat="1">
      <alignment shrinkToFit="0" vertical="center" wrapText="1"/>
    </xf>
    <xf borderId="52" fillId="15" fontId="28" numFmtId="164" xfId="0" applyAlignment="1" applyBorder="1" applyFill="1" applyFont="1" applyNumberFormat="1">
      <alignment shrinkToFit="0" vertical="center" wrapText="1"/>
    </xf>
    <xf borderId="0" fillId="9" fontId="36" numFmtId="0" xfId="0" applyAlignment="1" applyFill="1" applyFont="1">
      <alignment shrinkToFit="0" vertical="center" wrapText="1"/>
    </xf>
    <xf borderId="0" fillId="0" fontId="28" numFmtId="0" xfId="0" applyAlignment="1" applyFont="1">
      <alignment shrinkToFit="0" vertical="center" wrapText="1"/>
    </xf>
    <xf borderId="0" fillId="0" fontId="28" numFmtId="165" xfId="0" applyAlignment="1" applyFont="1" applyNumberFormat="1">
      <alignment shrinkToFit="0" vertical="center" wrapText="1"/>
    </xf>
    <xf borderId="0" fillId="0" fontId="28" numFmtId="164" xfId="0" applyAlignment="1" applyFont="1" applyNumberFormat="1">
      <alignment shrinkToFit="0" vertical="center" wrapText="1"/>
    </xf>
  </cellXfs>
  <cellStyles count="1">
    <cellStyle xfId="0" name="Normal" builtinId="0"/>
  </cellStyles>
  <dxfs count="8">
    <dxf>
      <font/>
      <fill>
        <patternFill patternType="none"/>
      </fill>
      <border/>
    </dxf>
    <dxf>
      <font>
        <b/>
      </font>
      <fill>
        <patternFill patternType="solid">
          <fgColor rgb="FFE3F0D9"/>
          <bgColor rgb="FFE3F0D9"/>
        </patternFill>
      </fill>
      <border/>
    </dxf>
    <dxf>
      <font>
        <b/>
      </font>
      <fill>
        <patternFill patternType="solid">
          <fgColor rgb="FFF4E3B5"/>
          <bgColor rgb="FFF4E3B5"/>
        </patternFill>
      </fill>
      <border/>
    </dxf>
    <dxf>
      <font>
        <b/>
      </font>
      <fill>
        <patternFill patternType="solid">
          <fgColor rgb="FFFAE8EC"/>
          <bgColor rgb="FFFAE8EC"/>
        </patternFill>
      </fill>
      <border/>
    </dxf>
    <dxf>
      <font/>
      <fill>
        <patternFill patternType="solid">
          <fgColor rgb="FF4A0A1B"/>
          <bgColor rgb="FF4A0A1B"/>
        </patternFill>
      </fill>
      <border/>
    </dxf>
    <dxf>
      <font/>
      <fill>
        <patternFill patternType="solid">
          <fgColor rgb="FFFFF7ED"/>
          <bgColor rgb="FFFFF7ED"/>
        </patternFill>
      </fill>
      <border/>
    </dxf>
    <dxf>
      <font/>
      <fill>
        <patternFill patternType="solid">
          <fgColor rgb="FFFAE8EC"/>
          <bgColor rgb="FFFAE8EC"/>
        </patternFill>
      </fill>
      <border/>
    </dxf>
    <dxf>
      <font>
        <strike/>
        <color rgb="FF795C67"/>
      </font>
      <fill>
        <patternFill patternType="solid">
          <fgColor rgb="FFF1F1F1"/>
          <bgColor rgb="FFF1F1F1"/>
        </patternFill>
      </fill>
      <border/>
    </dxf>
  </dxfs>
  <tableStyles count="3">
    <tableStyle count="3" pivot="0" name="PACKING LIST-style">
      <tableStyleElement dxfId="4" type="headerRow"/>
      <tableStyleElement dxfId="5" type="firstRowStripe"/>
      <tableStyleElement dxfId="6" type="secondRowStripe"/>
    </tableStyle>
    <tableStyle count="3" pivot="0" name="GIFT + WISHLIST-style">
      <tableStyleElement dxfId="4" type="headerRow"/>
      <tableStyleElement dxfId="5" type="firstRowStripe"/>
      <tableStyleElement dxfId="6" type="secondRowStripe"/>
    </tableStyle>
    <tableStyle count="3" pivot="0" name="GIFT + WISHLIST-style 2">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0:F80" displayName="Table_1" name="Table_1" id="1">
  <tableColumns count="6">
    <tableColumn name="CATEGORY" id="1"/>
    <tableColumn name="ITEM" id="2"/>
    <tableColumn name="PACKED?" id="3"/>
    <tableColumn name="BAG" id="4"/>
    <tableColumn name="QTY" id="5"/>
    <tableColumn name="NOTES" id="6"/>
  </tableColumns>
  <tableStyleInfo name="PACKING LIST-style" showColumnStripes="0" showFirstColumn="1" showLastColumn="1" showRowStripes="1"/>
</table>
</file>

<file path=xl/tables/table2.xml><?xml version="1.0" encoding="utf-8"?>
<table xmlns="http://schemas.openxmlformats.org/spreadsheetml/2006/main" ref="A12:L30" displayName="Table_2" name="Table_2" id="2">
  <tableColumns count="12">
    <tableColumn name="RECIPIENT" id="1"/>
    <tableColumn name="OCCASION" id="2"/>
    <tableColumn name="DATE" id="3"/>
    <tableColumn name="GIFT IDEA" id="4"/>
    <tableColumn name="BUDGET" id="5"/>
    <tableColumn name="ACTUAL" id="6"/>
    <tableColumn name="PURCHASED?" id="7"/>
    <tableColumn name="WRAPPED?" id="8"/>
    <tableColumn name="GIVEN?" id="9"/>
    <tableColumn name="STORE / LINK" id="10"/>
    <tableColumn name="PRIORITY" id="11"/>
    <tableColumn name="NOTES" id="12"/>
  </tableColumns>
  <tableStyleInfo name="GIFT + WISHLIST-style" showColumnStripes="0" showFirstColumn="1" showLastColumn="1" showRowStripes="1"/>
</table>
</file>

<file path=xl/tables/table3.xml><?xml version="1.0" encoding="utf-8"?>
<table xmlns="http://schemas.openxmlformats.org/spreadsheetml/2006/main" ref="A35:L60" displayName="Table_3" name="Table_3" id="3">
  <tableColumns count="12">
    <tableColumn name="ITEM" id="1"/>
    <tableColumn name="FOR" id="2"/>
    <tableColumn name="CATEGORY" id="3"/>
    <tableColumn name="PRIORITY" id="4"/>
    <tableColumn name="EST. PRICE" id="5"/>
    <tableColumn name="STORE / LINK" id="6"/>
    <tableColumn name="RECEIVED?" id="7"/>
    <tableColumn name="BOUGHT MYSELF?" id="8"/>
    <tableColumn name="ADDED DATE" id="9"/>
    <tableColumn name="FAVORITE?" id="10"/>
    <tableColumn name="NEED BY" id="11"/>
    <tableColumn name="NOTES" id="12"/>
  </tableColumns>
  <tableStyleInfo name="GIFT + WISHLIS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2.63"/>
    <col customWidth="1" min="2" max="2" width="45.13"/>
    <col customWidth="1" min="3" max="14" width="11.38"/>
  </cols>
  <sheetData>
    <row r="1" ht="28.5" customHeight="1">
      <c r="A1" s="2" t="s">
        <v>1</v>
      </c>
    </row>
    <row r="2">
      <c r="A2" s="4"/>
      <c r="B2" s="4"/>
      <c r="C2" s="4"/>
      <c r="D2" s="4"/>
      <c r="E2" s="4"/>
      <c r="F2" s="4"/>
      <c r="G2" s="4"/>
      <c r="H2" s="4"/>
      <c r="I2" s="4"/>
      <c r="J2" s="4"/>
      <c r="K2" s="4"/>
      <c r="L2" s="4"/>
      <c r="M2" s="4"/>
      <c r="N2" s="4"/>
    </row>
    <row r="3">
      <c r="A3" s="11" t="s">
        <v>6</v>
      </c>
      <c r="B3" s="13"/>
      <c r="C3" s="13"/>
      <c r="D3" s="13"/>
      <c r="E3" s="13"/>
      <c r="F3" s="13"/>
      <c r="G3" s="13"/>
      <c r="H3" s="13"/>
      <c r="I3" s="13"/>
      <c r="J3" s="13"/>
      <c r="K3" s="13"/>
      <c r="L3" s="13"/>
      <c r="M3" s="13"/>
      <c r="N3" s="13"/>
    </row>
    <row r="4">
      <c r="A4" s="4"/>
      <c r="B4" s="4"/>
      <c r="C4" s="4"/>
      <c r="D4" s="4"/>
      <c r="E4" s="4"/>
      <c r="F4" s="4"/>
      <c r="G4" s="4"/>
      <c r="H4" s="4"/>
      <c r="I4" s="4"/>
      <c r="J4" s="4"/>
      <c r="K4" s="4"/>
      <c r="L4" s="4"/>
      <c r="M4" s="4"/>
      <c r="N4" s="4"/>
    </row>
    <row r="5" ht="25.5" customHeight="1">
      <c r="A5" s="16" t="s">
        <v>18</v>
      </c>
      <c r="B5" s="13"/>
      <c r="C5" s="13"/>
      <c r="D5" s="13"/>
      <c r="E5" s="13"/>
      <c r="F5" s="13"/>
      <c r="G5" s="13"/>
      <c r="H5" s="13"/>
      <c r="I5" s="13"/>
      <c r="J5" s="13"/>
      <c r="K5" s="13"/>
      <c r="L5" s="13"/>
      <c r="M5" s="13"/>
      <c r="N5" s="13"/>
    </row>
    <row r="6" ht="25.5" customHeight="1">
      <c r="A6" s="4" t="s">
        <v>21</v>
      </c>
    </row>
    <row r="7" ht="25.5" customHeight="1"/>
    <row r="8" ht="25.5" customHeight="1">
      <c r="A8" s="4" t="s">
        <v>24</v>
      </c>
    </row>
    <row r="9" ht="25.5" customHeight="1"/>
    <row r="10" ht="25.5" customHeight="1">
      <c r="A10" s="24" t="s">
        <v>26</v>
      </c>
      <c r="B10" s="25"/>
      <c r="C10" s="25"/>
      <c r="D10" s="25"/>
      <c r="E10" s="25"/>
      <c r="F10" s="25"/>
      <c r="G10" s="25"/>
      <c r="H10" s="25"/>
      <c r="I10" s="25"/>
      <c r="J10" s="25"/>
      <c r="K10" s="25"/>
      <c r="L10" s="25"/>
      <c r="M10" s="25"/>
      <c r="N10" s="25"/>
    </row>
    <row r="11">
      <c r="A11" s="4"/>
      <c r="B11" s="4"/>
      <c r="C11" s="4"/>
      <c r="D11" s="4"/>
      <c r="E11" s="4"/>
      <c r="F11" s="4"/>
      <c r="G11" s="4"/>
      <c r="H11" s="4"/>
      <c r="I11" s="4"/>
      <c r="J11" s="4"/>
      <c r="K11" s="4"/>
      <c r="L11" s="4"/>
      <c r="M11" s="4"/>
      <c r="N11" s="4"/>
    </row>
    <row r="12">
      <c r="A12" s="4"/>
      <c r="B12" s="4"/>
      <c r="C12" s="4"/>
      <c r="D12" s="4"/>
      <c r="E12" s="4"/>
      <c r="F12" s="4"/>
      <c r="G12" s="4"/>
      <c r="H12" s="4"/>
      <c r="I12" s="4"/>
      <c r="J12" s="4"/>
      <c r="K12" s="4"/>
      <c r="L12" s="4"/>
      <c r="M12" s="4"/>
      <c r="N12" s="4"/>
    </row>
    <row r="13">
      <c r="A13" s="29" t="s">
        <v>32</v>
      </c>
    </row>
    <row r="14">
      <c r="A14" s="31" t="s">
        <v>33</v>
      </c>
      <c r="B14" s="32" t="s">
        <v>35</v>
      </c>
      <c r="C14" s="4"/>
      <c r="D14" s="4"/>
      <c r="E14" s="4"/>
      <c r="F14" s="4"/>
      <c r="G14" s="4"/>
      <c r="H14" s="4"/>
      <c r="I14" s="4"/>
      <c r="J14" s="4"/>
      <c r="K14" s="4"/>
      <c r="L14" s="4"/>
      <c r="M14" s="4"/>
      <c r="N14" s="4"/>
    </row>
    <row r="15">
      <c r="A15" s="31" t="s">
        <v>36</v>
      </c>
      <c r="B15" s="32" t="s">
        <v>37</v>
      </c>
      <c r="C15" s="4"/>
      <c r="D15" s="4"/>
      <c r="E15" s="4"/>
      <c r="F15" s="4"/>
      <c r="G15" s="4"/>
      <c r="H15" s="4"/>
      <c r="I15" s="4"/>
      <c r="J15" s="4"/>
      <c r="K15" s="4"/>
      <c r="L15" s="4"/>
      <c r="M15" s="4"/>
      <c r="N15" s="4"/>
    </row>
    <row r="16">
      <c r="A16" s="31" t="s">
        <v>38</v>
      </c>
      <c r="B16" s="32" t="s">
        <v>39</v>
      </c>
      <c r="C16" s="4"/>
      <c r="D16" s="4"/>
      <c r="E16" s="4"/>
      <c r="F16" s="4"/>
      <c r="G16" s="4"/>
      <c r="H16" s="4"/>
      <c r="I16" s="4"/>
      <c r="J16" s="4"/>
      <c r="K16" s="4"/>
      <c r="L16" s="4"/>
      <c r="M16" s="4"/>
      <c r="N16" s="4"/>
    </row>
    <row r="17">
      <c r="A17" s="31" t="s">
        <v>40</v>
      </c>
      <c r="B17" s="32" t="s">
        <v>41</v>
      </c>
      <c r="C17" s="4"/>
      <c r="D17" s="4"/>
      <c r="E17" s="4"/>
      <c r="F17" s="4"/>
      <c r="G17" s="4"/>
      <c r="H17" s="4"/>
      <c r="I17" s="4"/>
      <c r="J17" s="4"/>
      <c r="K17" s="4"/>
      <c r="L17" s="4"/>
      <c r="M17" s="4"/>
      <c r="N17" s="4"/>
    </row>
    <row r="18">
      <c r="A18" s="31" t="s">
        <v>42</v>
      </c>
      <c r="B18" s="32" t="s">
        <v>43</v>
      </c>
      <c r="C18" s="4"/>
      <c r="D18" s="4"/>
      <c r="E18" s="4"/>
      <c r="F18" s="4"/>
      <c r="G18" s="4"/>
      <c r="H18" s="4"/>
      <c r="I18" s="4"/>
      <c r="J18" s="4"/>
      <c r="K18" s="4"/>
      <c r="L18" s="4"/>
      <c r="M18" s="4"/>
      <c r="N18" s="4"/>
    </row>
    <row r="19">
      <c r="A19" s="31" t="s">
        <v>44</v>
      </c>
      <c r="B19" s="32" t="s">
        <v>45</v>
      </c>
      <c r="C19" s="4"/>
      <c r="D19" s="4"/>
      <c r="E19" s="4"/>
      <c r="F19" s="4"/>
      <c r="G19" s="4"/>
      <c r="H19" s="4"/>
      <c r="I19" s="4"/>
      <c r="J19" s="4"/>
      <c r="K19" s="4"/>
      <c r="L19" s="4"/>
      <c r="M19" s="4"/>
      <c r="N19" s="4"/>
    </row>
    <row r="20">
      <c r="A20" s="4"/>
      <c r="B20" s="4"/>
      <c r="C20" s="4"/>
      <c r="D20" s="4"/>
      <c r="E20" s="4"/>
      <c r="F20" s="4"/>
      <c r="G20" s="4"/>
      <c r="H20" s="4"/>
      <c r="I20" s="4"/>
      <c r="J20" s="4"/>
      <c r="K20" s="4"/>
      <c r="L20" s="4"/>
      <c r="M20" s="4"/>
      <c r="N20" s="4"/>
    </row>
    <row r="21">
      <c r="A21" s="4"/>
      <c r="B21" s="4"/>
      <c r="C21" s="4"/>
      <c r="D21" s="4"/>
      <c r="E21" s="4"/>
      <c r="F21" s="4"/>
      <c r="G21" s="4"/>
      <c r="H21" s="4"/>
      <c r="I21" s="4"/>
      <c r="J21" s="4"/>
      <c r="K21" s="4"/>
      <c r="L21" s="4"/>
      <c r="M21" s="4"/>
      <c r="N21" s="4"/>
    </row>
    <row r="22">
      <c r="A22" s="37" t="s">
        <v>47</v>
      </c>
    </row>
    <row r="23">
      <c r="A23" s="4" t="s">
        <v>49</v>
      </c>
      <c r="B23" s="4"/>
      <c r="C23" s="4"/>
      <c r="D23" s="4"/>
      <c r="E23" s="4"/>
      <c r="F23" s="4"/>
      <c r="G23" s="4"/>
      <c r="H23" s="4"/>
      <c r="I23" s="4"/>
      <c r="J23" s="4"/>
      <c r="K23" s="4"/>
      <c r="L23" s="4"/>
      <c r="M23" s="4"/>
      <c r="N23" s="4"/>
    </row>
    <row r="24">
      <c r="A24" s="4" t="s">
        <v>50</v>
      </c>
      <c r="B24" s="4"/>
      <c r="C24" s="4"/>
      <c r="D24" s="4"/>
      <c r="E24" s="4"/>
      <c r="F24" s="4"/>
      <c r="G24" s="4"/>
      <c r="H24" s="4"/>
      <c r="I24" s="4"/>
      <c r="J24" s="4"/>
      <c r="K24" s="4"/>
      <c r="L24" s="4"/>
      <c r="M24" s="4"/>
      <c r="N24" s="4"/>
    </row>
    <row r="25">
      <c r="A25" s="4"/>
      <c r="B25" s="4"/>
      <c r="C25" s="4"/>
      <c r="D25" s="4"/>
      <c r="E25" s="4"/>
      <c r="F25" s="4"/>
      <c r="G25" s="4"/>
      <c r="H25" s="4"/>
      <c r="I25" s="4"/>
      <c r="J25" s="4"/>
      <c r="K25" s="4"/>
      <c r="L25" s="4"/>
      <c r="M25" s="4"/>
      <c r="N25" s="4"/>
    </row>
    <row r="26">
      <c r="A26" s="46" t="s">
        <v>52</v>
      </c>
      <c r="B26" s="46"/>
      <c r="C26" s="46"/>
      <c r="D26" s="46"/>
      <c r="E26" s="46"/>
      <c r="F26" s="46"/>
      <c r="G26" s="46"/>
      <c r="H26" s="46"/>
      <c r="I26" s="46"/>
      <c r="J26" s="46"/>
      <c r="K26" s="46"/>
      <c r="L26" s="46"/>
      <c r="M26" s="46"/>
      <c r="N26" s="46"/>
    </row>
  </sheetData>
  <mergeCells count="8">
    <mergeCell ref="A1:N1"/>
    <mergeCell ref="A3:N3"/>
    <mergeCell ref="A5:N5"/>
    <mergeCell ref="A6:N7"/>
    <mergeCell ref="A8:N9"/>
    <mergeCell ref="A10:N10"/>
    <mergeCell ref="A13:N13"/>
    <mergeCell ref="A22:N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1" width="23.88"/>
    <col customWidth="1" min="2" max="2" width="18.25"/>
    <col customWidth="1" min="3" max="3" width="15.13"/>
    <col customWidth="1" min="4" max="4" width="15.75"/>
    <col customWidth="1" min="5" max="7" width="11.63"/>
    <col customWidth="1" min="8" max="8" width="10.13"/>
    <col customWidth="1" min="9" max="10" width="12.0"/>
    <col customWidth="1" min="11" max="11" width="13.25"/>
    <col customWidth="1" min="12" max="12" width="9.13"/>
    <col customWidth="1" min="13" max="13" width="29.5"/>
    <col customWidth="1" min="14" max="14" width="22.63"/>
  </cols>
  <sheetData>
    <row r="1" ht="22.5" customHeight="1">
      <c r="A1" s="6" t="s">
        <v>4</v>
      </c>
    </row>
    <row r="2" ht="22.5" customHeight="1"/>
    <row r="3" ht="18.0" customHeight="1">
      <c r="A3" s="10" t="s">
        <v>8</v>
      </c>
    </row>
    <row r="4" ht="18.0" customHeight="1">
      <c r="A4" s="12" t="s">
        <v>11</v>
      </c>
    </row>
    <row r="5">
      <c r="A5" s="15"/>
      <c r="B5" s="15"/>
      <c r="C5" s="15"/>
      <c r="D5" s="15"/>
      <c r="E5" s="15"/>
      <c r="F5" s="15"/>
      <c r="G5" s="15"/>
      <c r="H5" s="15"/>
      <c r="I5" s="15"/>
      <c r="J5" s="15"/>
      <c r="K5" s="15"/>
      <c r="L5" s="15"/>
      <c r="M5" s="15"/>
      <c r="N5" s="15"/>
    </row>
    <row r="6" ht="19.5" customHeight="1">
      <c r="A6" s="17" t="s">
        <v>20</v>
      </c>
      <c r="B6" s="18"/>
      <c r="C6" s="17" t="s">
        <v>23</v>
      </c>
      <c r="D6" s="18"/>
      <c r="E6" s="17" t="s">
        <v>25</v>
      </c>
      <c r="F6" s="18"/>
      <c r="G6" s="17" t="s">
        <v>28</v>
      </c>
      <c r="H6" s="18"/>
      <c r="I6" s="17" t="s">
        <v>29</v>
      </c>
      <c r="J6" s="18"/>
      <c r="K6" s="17" t="s">
        <v>17</v>
      </c>
      <c r="L6" s="18"/>
      <c r="M6" s="17" t="s">
        <v>30</v>
      </c>
      <c r="N6" s="18"/>
    </row>
    <row r="7" ht="21.0" customHeight="1">
      <c r="A7" s="27">
        <f>YEAR(TODAY())</f>
        <v>2026</v>
      </c>
      <c r="B7" s="28"/>
      <c r="C7" s="30">
        <v>24.0</v>
      </c>
      <c r="D7" s="28"/>
      <c r="E7" s="27">
        <f>COUNTIFS($J$14:$J$250,"&gt;="&amp;DATE($A$7,1,1),$J$14:$J$250,"&lt;="&amp;DATE($A$7,12,31),$F$14:$F$250,"Finished")</f>
        <v>0</v>
      </c>
      <c r="F7" s="28"/>
      <c r="G7" s="27">
        <f>COUNTIF($F$14:$F$250,"Reading")</f>
        <v>1</v>
      </c>
      <c r="H7" s="28"/>
      <c r="I7" s="27">
        <f>COUNTIF($F$14:$F$250,"TBR")</f>
        <v>1</v>
      </c>
      <c r="J7" s="28"/>
      <c r="K7" s="49" t="str">
        <f>IFERROR(AVERAGEIF($F$14:$F$250,"Finished",$G$14:$G$250),"")</f>
        <v/>
      </c>
      <c r="L7" s="28"/>
      <c r="M7" s="27" t="str">
        <f>IFERROR(__xludf.DUMMYFUNCTION("IF($C$7=0,"""",SPARKLINE(MIN($E$7/$C$7,1),{""charttype"",""bar"";""max"",1;""color1"",""#D5AE5E""}))"),"")</f>
        <v/>
      </c>
      <c r="N7" s="28"/>
    </row>
    <row r="8" ht="21.0" customHeight="1">
      <c r="A8" s="53"/>
      <c r="B8" s="54"/>
      <c r="C8" s="53"/>
      <c r="D8" s="54"/>
      <c r="E8" s="53"/>
      <c r="F8" s="54"/>
      <c r="G8" s="53"/>
      <c r="H8" s="54"/>
      <c r="I8" s="53"/>
      <c r="J8" s="54"/>
      <c r="K8" s="53"/>
      <c r="L8" s="54"/>
      <c r="M8" s="53"/>
      <c r="N8" s="54"/>
    </row>
    <row r="9" ht="21.0" customHeight="1">
      <c r="A9" s="56" t="s">
        <v>72</v>
      </c>
      <c r="H9" s="56" t="s">
        <v>73</v>
      </c>
    </row>
    <row r="10" ht="22.5" customHeight="1">
      <c r="A10" s="59" t="str">
        <f t="array" ref="A10">IFERROR(INDEX($A$14:$A$250,MATCH("Reading",$F$14:$F$250,0)),"Add a current read ♡")</f>
        <v>Crank</v>
      </c>
      <c r="H10" s="59" t="str">
        <f t="array" ref="H10">IFERROR(INDEX($A$14:$A$250,MATCH("TBR",$F$14:$F$250,0)),"Add something to your TBR ✦")</f>
        <v>Burned</v>
      </c>
    </row>
    <row r="11" ht="22.5" customHeight="1">
      <c r="A11" s="13"/>
      <c r="B11" s="13"/>
      <c r="C11" s="13"/>
      <c r="D11" s="13"/>
      <c r="E11" s="13"/>
      <c r="F11" s="13"/>
      <c r="G11" s="13"/>
      <c r="H11" s="13"/>
      <c r="I11" s="13"/>
      <c r="J11" s="13"/>
      <c r="K11" s="13"/>
      <c r="L11" s="13"/>
      <c r="M11" s="13"/>
      <c r="N11" s="13"/>
    </row>
    <row r="12" ht="18.0" customHeight="1">
      <c r="A12" s="63" t="str">
        <f t="array" ref="A12">IFERROR("by "&amp;INDEX($B$14:$B$250,MATCH("Reading",$F$14:$F$250,0)),"")</f>
        <v>by Ellen Hopkins</v>
      </c>
      <c r="H12" s="63" t="str">
        <f t="array" ref="H12">IFERROR("by "&amp;INDEX($B$14:$B$250,MATCH("TBR",$F$14:$F$250,0)),"")</f>
        <v>by Ellen Hopkins</v>
      </c>
    </row>
    <row r="13" ht="18.0" customHeight="1">
      <c r="A13" s="64" t="s">
        <v>81</v>
      </c>
      <c r="B13" s="64" t="s">
        <v>34</v>
      </c>
      <c r="C13" s="64" t="s">
        <v>83</v>
      </c>
      <c r="D13" s="64" t="s">
        <v>85</v>
      </c>
      <c r="E13" s="64" t="s">
        <v>86</v>
      </c>
      <c r="F13" s="64" t="s">
        <v>60</v>
      </c>
      <c r="G13" s="64" t="s">
        <v>27</v>
      </c>
      <c r="H13" s="64" t="s">
        <v>87</v>
      </c>
      <c r="I13" s="64" t="s">
        <v>88</v>
      </c>
      <c r="J13" s="64" t="s">
        <v>89</v>
      </c>
      <c r="K13" s="64" t="s">
        <v>90</v>
      </c>
      <c r="L13" s="64" t="s">
        <v>67</v>
      </c>
      <c r="M13" s="64" t="s">
        <v>92</v>
      </c>
      <c r="N13" s="64" t="s">
        <v>93</v>
      </c>
    </row>
    <row r="14" ht="19.5" customHeight="1">
      <c r="A14" s="67" t="s">
        <v>22</v>
      </c>
      <c r="B14" s="67" t="s">
        <v>95</v>
      </c>
      <c r="C14" s="67" t="s">
        <v>22</v>
      </c>
      <c r="D14" s="67" t="s">
        <v>98</v>
      </c>
      <c r="E14" s="67" t="s">
        <v>99</v>
      </c>
      <c r="F14" s="67" t="s">
        <v>100</v>
      </c>
      <c r="G14" s="67">
        <v>5.0</v>
      </c>
      <c r="H14" s="70"/>
      <c r="I14" s="71"/>
      <c r="J14" s="71"/>
      <c r="K14" s="70"/>
      <c r="L14" s="73" t="b">
        <v>1</v>
      </c>
      <c r="M14" s="70"/>
      <c r="N14" s="70"/>
    </row>
    <row r="15" ht="19.5" customHeight="1">
      <c r="A15" s="74" t="s">
        <v>103</v>
      </c>
      <c r="B15" s="74" t="s">
        <v>95</v>
      </c>
      <c r="C15" s="74" t="s">
        <v>22</v>
      </c>
      <c r="D15" s="74" t="s">
        <v>98</v>
      </c>
      <c r="E15" s="74" t="s">
        <v>104</v>
      </c>
      <c r="F15" s="74" t="s">
        <v>29</v>
      </c>
      <c r="G15" s="75"/>
      <c r="H15" s="75"/>
      <c r="I15" s="76"/>
      <c r="J15" s="76"/>
      <c r="K15" s="75"/>
      <c r="L15" s="75" t="b">
        <v>0</v>
      </c>
      <c r="M15" s="75"/>
      <c r="N15" s="75"/>
    </row>
    <row r="16" ht="19.5" customHeight="1">
      <c r="A16" s="70"/>
      <c r="B16" s="70"/>
      <c r="C16" s="70"/>
      <c r="D16" s="70"/>
      <c r="E16" s="70"/>
      <c r="F16" s="70"/>
      <c r="G16" s="70"/>
      <c r="H16" s="70"/>
      <c r="I16" s="71"/>
      <c r="J16" s="71"/>
      <c r="K16" s="70"/>
      <c r="L16" s="70" t="b">
        <v>0</v>
      </c>
      <c r="M16" s="70"/>
      <c r="N16" s="70"/>
    </row>
    <row r="17" ht="19.5" customHeight="1">
      <c r="A17" s="75"/>
      <c r="B17" s="75"/>
      <c r="C17" s="75"/>
      <c r="D17" s="75"/>
      <c r="E17" s="75"/>
      <c r="F17" s="75"/>
      <c r="G17" s="75"/>
      <c r="H17" s="75"/>
      <c r="I17" s="76"/>
      <c r="J17" s="76"/>
      <c r="K17" s="75"/>
      <c r="L17" s="75" t="b">
        <v>0</v>
      </c>
      <c r="M17" s="75"/>
      <c r="N17" s="75"/>
    </row>
    <row r="18" ht="19.5" customHeight="1">
      <c r="A18" s="70"/>
      <c r="B18" s="70"/>
      <c r="C18" s="70"/>
      <c r="D18" s="70"/>
      <c r="E18" s="70"/>
      <c r="F18" s="70"/>
      <c r="G18" s="70"/>
      <c r="H18" s="70"/>
      <c r="I18" s="71"/>
      <c r="J18" s="71"/>
      <c r="K18" s="70"/>
      <c r="L18" s="70" t="b">
        <v>0</v>
      </c>
      <c r="M18" s="70"/>
      <c r="N18" s="70"/>
    </row>
    <row r="19" ht="19.5" customHeight="1">
      <c r="A19" s="75"/>
      <c r="B19" s="75"/>
      <c r="C19" s="75"/>
      <c r="D19" s="75"/>
      <c r="E19" s="75"/>
      <c r="F19" s="75"/>
      <c r="G19" s="75"/>
      <c r="H19" s="75"/>
      <c r="I19" s="76"/>
      <c r="J19" s="76"/>
      <c r="K19" s="75"/>
      <c r="L19" s="75" t="b">
        <v>0</v>
      </c>
      <c r="M19" s="75"/>
      <c r="N19" s="75"/>
    </row>
    <row r="20" ht="19.5" customHeight="1">
      <c r="A20" s="70"/>
      <c r="B20" s="70"/>
      <c r="C20" s="70"/>
      <c r="D20" s="70"/>
      <c r="E20" s="70"/>
      <c r="F20" s="70"/>
      <c r="G20" s="70"/>
      <c r="H20" s="70"/>
      <c r="I20" s="71"/>
      <c r="J20" s="71"/>
      <c r="K20" s="70"/>
      <c r="L20" s="70" t="b">
        <v>0</v>
      </c>
      <c r="M20" s="70"/>
      <c r="N20" s="70"/>
    </row>
    <row r="21" ht="19.5" customHeight="1">
      <c r="A21" s="75"/>
      <c r="B21" s="75"/>
      <c r="C21" s="75"/>
      <c r="D21" s="75"/>
      <c r="E21" s="75"/>
      <c r="F21" s="75"/>
      <c r="G21" s="75"/>
      <c r="H21" s="75"/>
      <c r="I21" s="76"/>
      <c r="J21" s="76"/>
      <c r="K21" s="75"/>
      <c r="L21" s="75" t="b">
        <v>0</v>
      </c>
      <c r="M21" s="75"/>
      <c r="N21" s="75"/>
    </row>
    <row r="22" ht="19.5" customHeight="1">
      <c r="A22" s="70"/>
      <c r="B22" s="70"/>
      <c r="C22" s="70"/>
      <c r="D22" s="70"/>
      <c r="E22" s="70"/>
      <c r="F22" s="70"/>
      <c r="G22" s="70"/>
      <c r="H22" s="70"/>
      <c r="I22" s="71"/>
      <c r="J22" s="71"/>
      <c r="K22" s="70"/>
      <c r="L22" s="70" t="b">
        <v>0</v>
      </c>
      <c r="M22" s="70"/>
      <c r="N22" s="70"/>
    </row>
    <row r="23" ht="19.5" customHeight="1">
      <c r="A23" s="75"/>
      <c r="B23" s="75"/>
      <c r="C23" s="75"/>
      <c r="D23" s="75"/>
      <c r="E23" s="75"/>
      <c r="F23" s="75"/>
      <c r="G23" s="75"/>
      <c r="H23" s="75"/>
      <c r="I23" s="76"/>
      <c r="J23" s="76"/>
      <c r="K23" s="75"/>
      <c r="L23" s="75" t="b">
        <v>0</v>
      </c>
      <c r="M23" s="75"/>
      <c r="N23" s="75"/>
    </row>
    <row r="24" ht="19.5" customHeight="1">
      <c r="A24" s="70"/>
      <c r="B24" s="70"/>
      <c r="C24" s="70"/>
      <c r="D24" s="70"/>
      <c r="E24" s="70"/>
      <c r="F24" s="70"/>
      <c r="G24" s="70"/>
      <c r="H24" s="70"/>
      <c r="I24" s="71"/>
      <c r="J24" s="71"/>
      <c r="K24" s="70"/>
      <c r="L24" s="70" t="b">
        <v>0</v>
      </c>
      <c r="M24" s="70"/>
      <c r="N24" s="70"/>
    </row>
    <row r="25" ht="19.5" customHeight="1">
      <c r="A25" s="75"/>
      <c r="B25" s="75"/>
      <c r="C25" s="75"/>
      <c r="D25" s="75"/>
      <c r="E25" s="75"/>
      <c r="F25" s="75"/>
      <c r="G25" s="75"/>
      <c r="H25" s="75"/>
      <c r="I25" s="76"/>
      <c r="J25" s="76"/>
      <c r="K25" s="75"/>
      <c r="L25" s="75" t="b">
        <v>0</v>
      </c>
      <c r="M25" s="75"/>
      <c r="N25" s="75"/>
    </row>
    <row r="26" ht="19.5" customHeight="1">
      <c r="A26" s="70"/>
      <c r="B26" s="70"/>
      <c r="C26" s="70"/>
      <c r="D26" s="70"/>
      <c r="E26" s="70"/>
      <c r="F26" s="70"/>
      <c r="G26" s="70"/>
      <c r="H26" s="70"/>
      <c r="I26" s="71"/>
      <c r="J26" s="71"/>
      <c r="K26" s="70"/>
      <c r="L26" s="70" t="b">
        <v>0</v>
      </c>
      <c r="M26" s="70"/>
      <c r="N26" s="70"/>
    </row>
    <row r="27" ht="19.5" customHeight="1">
      <c r="A27" s="75"/>
      <c r="B27" s="75"/>
      <c r="C27" s="75"/>
      <c r="D27" s="75"/>
      <c r="E27" s="75"/>
      <c r="F27" s="75"/>
      <c r="G27" s="75"/>
      <c r="H27" s="75"/>
      <c r="I27" s="76"/>
      <c r="J27" s="76"/>
      <c r="K27" s="75"/>
      <c r="L27" s="75" t="b">
        <v>0</v>
      </c>
      <c r="M27" s="75"/>
      <c r="N27" s="75"/>
    </row>
    <row r="28" ht="19.5" customHeight="1">
      <c r="A28" s="70"/>
      <c r="B28" s="70"/>
      <c r="C28" s="70"/>
      <c r="D28" s="70"/>
      <c r="E28" s="70"/>
      <c r="F28" s="70"/>
      <c r="G28" s="70"/>
      <c r="H28" s="70"/>
      <c r="I28" s="71"/>
      <c r="J28" s="71"/>
      <c r="K28" s="70"/>
      <c r="L28" s="70" t="b">
        <v>0</v>
      </c>
      <c r="M28" s="70"/>
      <c r="N28" s="70"/>
    </row>
    <row r="29" ht="19.5" customHeight="1">
      <c r="A29" s="75"/>
      <c r="B29" s="75"/>
      <c r="C29" s="75"/>
      <c r="D29" s="75"/>
      <c r="E29" s="75"/>
      <c r="F29" s="75"/>
      <c r="G29" s="75"/>
      <c r="H29" s="75"/>
      <c r="I29" s="76"/>
      <c r="J29" s="76"/>
      <c r="K29" s="75"/>
      <c r="L29" s="75" t="b">
        <v>0</v>
      </c>
      <c r="M29" s="75"/>
      <c r="N29" s="75"/>
    </row>
    <row r="30" ht="19.5" customHeight="1">
      <c r="A30" s="70"/>
      <c r="B30" s="70"/>
      <c r="C30" s="70"/>
      <c r="D30" s="70"/>
      <c r="E30" s="70"/>
      <c r="F30" s="70"/>
      <c r="G30" s="70"/>
      <c r="H30" s="70"/>
      <c r="I30" s="71"/>
      <c r="J30" s="71"/>
      <c r="K30" s="70"/>
      <c r="L30" s="70" t="b">
        <v>0</v>
      </c>
      <c r="M30" s="70"/>
      <c r="N30" s="70"/>
    </row>
    <row r="31" ht="19.5" customHeight="1">
      <c r="A31" s="75"/>
      <c r="B31" s="75"/>
      <c r="C31" s="75"/>
      <c r="D31" s="75"/>
      <c r="E31" s="75"/>
      <c r="F31" s="75"/>
      <c r="G31" s="75"/>
      <c r="H31" s="75"/>
      <c r="I31" s="76"/>
      <c r="J31" s="76"/>
      <c r="K31" s="75"/>
      <c r="L31" s="75" t="b">
        <v>0</v>
      </c>
      <c r="M31" s="75"/>
      <c r="N31" s="75"/>
    </row>
    <row r="32" ht="19.5" customHeight="1">
      <c r="A32" s="70"/>
      <c r="B32" s="70"/>
      <c r="C32" s="70"/>
      <c r="D32" s="70"/>
      <c r="E32" s="70"/>
      <c r="F32" s="70"/>
      <c r="G32" s="70"/>
      <c r="H32" s="70"/>
      <c r="I32" s="71"/>
      <c r="J32" s="71"/>
      <c r="K32" s="70"/>
      <c r="L32" s="70" t="b">
        <v>0</v>
      </c>
      <c r="M32" s="70"/>
      <c r="N32" s="70"/>
    </row>
    <row r="33" ht="19.5" customHeight="1">
      <c r="A33" s="75"/>
      <c r="B33" s="75"/>
      <c r="C33" s="75"/>
      <c r="D33" s="75"/>
      <c r="E33" s="75"/>
      <c r="F33" s="75"/>
      <c r="G33" s="75"/>
      <c r="H33" s="75"/>
      <c r="I33" s="76"/>
      <c r="J33" s="76"/>
      <c r="K33" s="75"/>
      <c r="L33" s="75" t="b">
        <v>0</v>
      </c>
      <c r="M33" s="75"/>
      <c r="N33" s="75"/>
    </row>
    <row r="34" ht="19.5" customHeight="1">
      <c r="A34" s="70"/>
      <c r="B34" s="70"/>
      <c r="C34" s="70"/>
      <c r="D34" s="70"/>
      <c r="E34" s="70"/>
      <c r="F34" s="70"/>
      <c r="G34" s="70"/>
      <c r="H34" s="70"/>
      <c r="I34" s="71"/>
      <c r="J34" s="71"/>
      <c r="K34" s="70"/>
      <c r="L34" s="70" t="b">
        <v>0</v>
      </c>
      <c r="M34" s="70"/>
      <c r="N34" s="70"/>
    </row>
    <row r="35" ht="19.5" customHeight="1">
      <c r="A35" s="75"/>
      <c r="B35" s="75"/>
      <c r="C35" s="75"/>
      <c r="D35" s="75"/>
      <c r="E35" s="75"/>
      <c r="F35" s="75"/>
      <c r="G35" s="75"/>
      <c r="H35" s="75"/>
      <c r="I35" s="76"/>
      <c r="J35" s="76"/>
      <c r="K35" s="75"/>
      <c r="L35" s="75" t="b">
        <v>0</v>
      </c>
      <c r="M35" s="75"/>
      <c r="N35" s="75"/>
    </row>
    <row r="36" ht="19.5" customHeight="1">
      <c r="A36" s="70"/>
      <c r="B36" s="70"/>
      <c r="C36" s="70"/>
      <c r="D36" s="70"/>
      <c r="E36" s="70"/>
      <c r="F36" s="70"/>
      <c r="G36" s="70"/>
      <c r="H36" s="70"/>
      <c r="I36" s="71"/>
      <c r="J36" s="71"/>
      <c r="K36" s="70"/>
      <c r="L36" s="70" t="b">
        <v>0</v>
      </c>
      <c r="M36" s="70"/>
      <c r="N36" s="70"/>
    </row>
    <row r="37" ht="19.5" customHeight="1">
      <c r="A37" s="75"/>
      <c r="B37" s="75"/>
      <c r="C37" s="75"/>
      <c r="D37" s="75"/>
      <c r="E37" s="75"/>
      <c r="F37" s="75"/>
      <c r="G37" s="75"/>
      <c r="H37" s="75"/>
      <c r="I37" s="76"/>
      <c r="J37" s="76"/>
      <c r="K37" s="75"/>
      <c r="L37" s="75" t="b">
        <v>0</v>
      </c>
      <c r="M37" s="75"/>
      <c r="N37" s="75"/>
    </row>
    <row r="38" ht="19.5" customHeight="1">
      <c r="A38" s="70"/>
      <c r="B38" s="70"/>
      <c r="C38" s="70"/>
      <c r="D38" s="70"/>
      <c r="E38" s="70"/>
      <c r="F38" s="70"/>
      <c r="G38" s="70"/>
      <c r="H38" s="70"/>
      <c r="I38" s="71"/>
      <c r="J38" s="71"/>
      <c r="K38" s="70"/>
      <c r="L38" s="70" t="b">
        <v>0</v>
      </c>
      <c r="M38" s="70"/>
      <c r="N38" s="70"/>
    </row>
    <row r="39" ht="19.5" customHeight="1">
      <c r="A39" s="75"/>
      <c r="B39" s="75"/>
      <c r="C39" s="75"/>
      <c r="D39" s="75"/>
      <c r="E39" s="75"/>
      <c r="F39" s="75"/>
      <c r="G39" s="75"/>
      <c r="H39" s="75"/>
      <c r="I39" s="76"/>
      <c r="J39" s="76"/>
      <c r="K39" s="75"/>
      <c r="L39" s="75" t="b">
        <v>0</v>
      </c>
      <c r="M39" s="75"/>
      <c r="N39" s="75"/>
    </row>
    <row r="40" ht="19.5" customHeight="1">
      <c r="A40" s="70"/>
      <c r="B40" s="70"/>
      <c r="C40" s="70"/>
      <c r="D40" s="70"/>
      <c r="E40" s="70"/>
      <c r="F40" s="70"/>
      <c r="G40" s="70"/>
      <c r="H40" s="70"/>
      <c r="I40" s="71"/>
      <c r="J40" s="71"/>
      <c r="K40" s="70"/>
      <c r="L40" s="70" t="b">
        <v>0</v>
      </c>
      <c r="M40" s="70"/>
      <c r="N40" s="70"/>
    </row>
    <row r="41" ht="19.5" customHeight="1">
      <c r="A41" s="75"/>
      <c r="B41" s="75"/>
      <c r="C41" s="75"/>
      <c r="D41" s="75"/>
      <c r="E41" s="75"/>
      <c r="F41" s="75"/>
      <c r="G41" s="75"/>
      <c r="H41" s="75"/>
      <c r="I41" s="76"/>
      <c r="J41" s="76"/>
      <c r="K41" s="75"/>
      <c r="L41" s="75" t="b">
        <v>0</v>
      </c>
      <c r="M41" s="75"/>
      <c r="N41" s="75"/>
    </row>
    <row r="42" ht="19.5" customHeight="1">
      <c r="A42" s="70"/>
      <c r="B42" s="70"/>
      <c r="C42" s="70"/>
      <c r="D42" s="70"/>
      <c r="E42" s="70"/>
      <c r="F42" s="70"/>
      <c r="G42" s="70"/>
      <c r="H42" s="70"/>
      <c r="I42" s="71"/>
      <c r="J42" s="71"/>
      <c r="K42" s="70"/>
      <c r="L42" s="70" t="b">
        <v>0</v>
      </c>
      <c r="M42" s="70"/>
      <c r="N42" s="70"/>
    </row>
    <row r="43" ht="19.5" customHeight="1">
      <c r="A43" s="75"/>
      <c r="B43" s="75"/>
      <c r="C43" s="75"/>
      <c r="D43" s="75"/>
      <c r="E43" s="75"/>
      <c r="F43" s="75"/>
      <c r="G43" s="75"/>
      <c r="H43" s="75"/>
      <c r="I43" s="76"/>
      <c r="J43" s="76"/>
      <c r="K43" s="75"/>
      <c r="L43" s="75" t="b">
        <v>0</v>
      </c>
      <c r="M43" s="75"/>
      <c r="N43" s="75"/>
    </row>
    <row r="44" ht="19.5" customHeight="1">
      <c r="A44" s="70"/>
      <c r="B44" s="70"/>
      <c r="C44" s="70"/>
      <c r="D44" s="70"/>
      <c r="E44" s="70"/>
      <c r="F44" s="70"/>
      <c r="G44" s="70"/>
      <c r="H44" s="70"/>
      <c r="I44" s="71"/>
      <c r="J44" s="71"/>
      <c r="K44" s="70"/>
      <c r="L44" s="70" t="b">
        <v>0</v>
      </c>
      <c r="M44" s="70"/>
      <c r="N44" s="70"/>
    </row>
    <row r="45" ht="19.5" customHeight="1">
      <c r="A45" s="75"/>
      <c r="B45" s="75"/>
      <c r="C45" s="75"/>
      <c r="D45" s="75"/>
      <c r="E45" s="75"/>
      <c r="F45" s="75"/>
      <c r="G45" s="75"/>
      <c r="H45" s="75"/>
      <c r="I45" s="76"/>
      <c r="J45" s="76"/>
      <c r="K45" s="75"/>
      <c r="L45" s="75" t="b">
        <v>0</v>
      </c>
      <c r="M45" s="75"/>
      <c r="N45" s="75"/>
    </row>
    <row r="46" ht="19.5" customHeight="1">
      <c r="A46" s="70"/>
      <c r="B46" s="70"/>
      <c r="C46" s="70"/>
      <c r="D46" s="70"/>
      <c r="E46" s="70"/>
      <c r="F46" s="70"/>
      <c r="G46" s="70"/>
      <c r="H46" s="70"/>
      <c r="I46" s="71"/>
      <c r="J46" s="71"/>
      <c r="K46" s="70"/>
      <c r="L46" s="70" t="b">
        <v>0</v>
      </c>
      <c r="M46" s="70"/>
      <c r="N46" s="70"/>
    </row>
    <row r="47" ht="19.5" customHeight="1">
      <c r="A47" s="75"/>
      <c r="B47" s="75"/>
      <c r="C47" s="75"/>
      <c r="D47" s="75"/>
      <c r="E47" s="75"/>
      <c r="F47" s="75"/>
      <c r="G47" s="75"/>
      <c r="H47" s="75"/>
      <c r="I47" s="76"/>
      <c r="J47" s="76"/>
      <c r="K47" s="75"/>
      <c r="L47" s="75" t="b">
        <v>0</v>
      </c>
      <c r="M47" s="75"/>
      <c r="N47" s="75"/>
    </row>
    <row r="48" ht="19.5" customHeight="1">
      <c r="A48" s="70"/>
      <c r="B48" s="70"/>
      <c r="C48" s="70"/>
      <c r="D48" s="70"/>
      <c r="E48" s="70"/>
      <c r="F48" s="70"/>
      <c r="G48" s="70"/>
      <c r="H48" s="70"/>
      <c r="I48" s="71"/>
      <c r="J48" s="71"/>
      <c r="K48" s="70"/>
      <c r="L48" s="70" t="b">
        <v>0</v>
      </c>
      <c r="M48" s="70"/>
      <c r="N48" s="70"/>
    </row>
    <row r="49" ht="19.5" customHeight="1">
      <c r="A49" s="75"/>
      <c r="B49" s="75"/>
      <c r="C49" s="75"/>
      <c r="D49" s="75"/>
      <c r="E49" s="75"/>
      <c r="F49" s="75"/>
      <c r="G49" s="75"/>
      <c r="H49" s="75"/>
      <c r="I49" s="76"/>
      <c r="J49" s="76"/>
      <c r="K49" s="75"/>
      <c r="L49" s="75" t="b">
        <v>0</v>
      </c>
      <c r="M49" s="75"/>
      <c r="N49" s="75"/>
    </row>
    <row r="50" ht="19.5" customHeight="1">
      <c r="A50" s="70"/>
      <c r="B50" s="70"/>
      <c r="C50" s="70"/>
      <c r="D50" s="70"/>
      <c r="E50" s="70"/>
      <c r="F50" s="70"/>
      <c r="G50" s="70"/>
      <c r="H50" s="70"/>
      <c r="I50" s="71"/>
      <c r="J50" s="71"/>
      <c r="K50" s="70"/>
      <c r="L50" s="70" t="b">
        <v>0</v>
      </c>
      <c r="M50" s="70"/>
      <c r="N50" s="70"/>
    </row>
    <row r="51" ht="19.5" customHeight="1">
      <c r="A51" s="75"/>
      <c r="B51" s="75"/>
      <c r="C51" s="75"/>
      <c r="D51" s="75"/>
      <c r="E51" s="75"/>
      <c r="F51" s="75"/>
      <c r="G51" s="75"/>
      <c r="H51" s="75"/>
      <c r="I51" s="76"/>
      <c r="J51" s="76"/>
      <c r="K51" s="75"/>
      <c r="L51" s="75" t="b">
        <v>0</v>
      </c>
      <c r="M51" s="75"/>
      <c r="N51" s="75"/>
    </row>
    <row r="52" ht="19.5" customHeight="1">
      <c r="A52" s="70"/>
      <c r="B52" s="70"/>
      <c r="C52" s="70"/>
      <c r="D52" s="70"/>
      <c r="E52" s="70"/>
      <c r="F52" s="70"/>
      <c r="G52" s="70"/>
      <c r="H52" s="70"/>
      <c r="I52" s="71"/>
      <c r="J52" s="71"/>
      <c r="K52" s="70"/>
      <c r="L52" s="70" t="b">
        <v>0</v>
      </c>
      <c r="M52" s="70"/>
      <c r="N52" s="70"/>
    </row>
    <row r="53" ht="19.5" customHeight="1">
      <c r="A53" s="75"/>
      <c r="B53" s="75"/>
      <c r="C53" s="75"/>
      <c r="D53" s="75"/>
      <c r="E53" s="75"/>
      <c r="F53" s="75"/>
      <c r="G53" s="75"/>
      <c r="H53" s="75"/>
      <c r="I53" s="76"/>
      <c r="J53" s="76"/>
      <c r="K53" s="75"/>
      <c r="L53" s="75" t="b">
        <v>0</v>
      </c>
      <c r="M53" s="75"/>
      <c r="N53" s="75"/>
    </row>
    <row r="54" ht="19.5" customHeight="1">
      <c r="A54" s="70"/>
      <c r="B54" s="70"/>
      <c r="C54" s="70"/>
      <c r="D54" s="70"/>
      <c r="E54" s="70"/>
      <c r="F54" s="70"/>
      <c r="G54" s="70"/>
      <c r="H54" s="70"/>
      <c r="I54" s="71"/>
      <c r="J54" s="71"/>
      <c r="K54" s="70"/>
      <c r="L54" s="70" t="b">
        <v>0</v>
      </c>
      <c r="M54" s="70"/>
      <c r="N54" s="70"/>
    </row>
    <row r="55" ht="19.5" customHeight="1">
      <c r="A55" s="75"/>
      <c r="B55" s="75"/>
      <c r="C55" s="75"/>
      <c r="D55" s="75"/>
      <c r="E55" s="75"/>
      <c r="F55" s="75"/>
      <c r="G55" s="75"/>
      <c r="H55" s="75"/>
      <c r="I55" s="76"/>
      <c r="J55" s="76"/>
      <c r="K55" s="75"/>
      <c r="L55" s="75" t="b">
        <v>0</v>
      </c>
      <c r="M55" s="75"/>
      <c r="N55" s="75"/>
    </row>
    <row r="56" ht="19.5" customHeight="1">
      <c r="A56" s="70"/>
      <c r="B56" s="70"/>
      <c r="C56" s="70"/>
      <c r="D56" s="70"/>
      <c r="E56" s="70"/>
      <c r="F56" s="70"/>
      <c r="G56" s="70"/>
      <c r="H56" s="70"/>
      <c r="I56" s="71"/>
      <c r="J56" s="71"/>
      <c r="K56" s="70"/>
      <c r="L56" s="70" t="b">
        <v>0</v>
      </c>
      <c r="M56" s="70"/>
      <c r="N56" s="70"/>
    </row>
    <row r="57" ht="19.5" customHeight="1">
      <c r="A57" s="75"/>
      <c r="B57" s="75"/>
      <c r="C57" s="75"/>
      <c r="D57" s="75"/>
      <c r="E57" s="75"/>
      <c r="F57" s="75"/>
      <c r="G57" s="75"/>
      <c r="H57" s="75"/>
      <c r="I57" s="76"/>
      <c r="J57" s="76"/>
      <c r="K57" s="75"/>
      <c r="L57" s="75" t="b">
        <v>0</v>
      </c>
      <c r="M57" s="75"/>
      <c r="N57" s="75"/>
    </row>
    <row r="58" ht="19.5" customHeight="1">
      <c r="A58" s="70"/>
      <c r="B58" s="70"/>
      <c r="C58" s="70"/>
      <c r="D58" s="70"/>
      <c r="E58" s="70"/>
      <c r="F58" s="70"/>
      <c r="G58" s="70"/>
      <c r="H58" s="70"/>
      <c r="I58" s="71"/>
      <c r="J58" s="71"/>
      <c r="K58" s="70"/>
      <c r="L58" s="70" t="b">
        <v>0</v>
      </c>
      <c r="M58" s="70"/>
      <c r="N58" s="70"/>
    </row>
    <row r="59" ht="19.5" customHeight="1">
      <c r="A59" s="75"/>
      <c r="B59" s="75"/>
      <c r="C59" s="75"/>
      <c r="D59" s="75"/>
      <c r="E59" s="75"/>
      <c r="F59" s="75"/>
      <c r="G59" s="75"/>
      <c r="H59" s="75"/>
      <c r="I59" s="76"/>
      <c r="J59" s="76"/>
      <c r="K59" s="75"/>
      <c r="L59" s="75" t="b">
        <v>0</v>
      </c>
      <c r="M59" s="75"/>
      <c r="N59" s="75"/>
    </row>
    <row r="60" ht="19.5" customHeight="1">
      <c r="A60" s="70"/>
      <c r="B60" s="70"/>
      <c r="C60" s="70"/>
      <c r="D60" s="70"/>
      <c r="E60" s="70"/>
      <c r="F60" s="70"/>
      <c r="G60" s="70"/>
      <c r="H60" s="70"/>
      <c r="I60" s="71"/>
      <c r="J60" s="71"/>
      <c r="K60" s="70"/>
      <c r="L60" s="70" t="b">
        <v>0</v>
      </c>
      <c r="M60" s="70"/>
      <c r="N60" s="70"/>
    </row>
    <row r="61" ht="19.5" customHeight="1">
      <c r="A61" s="75"/>
      <c r="B61" s="75"/>
      <c r="C61" s="75"/>
      <c r="D61" s="75"/>
      <c r="E61" s="75"/>
      <c r="F61" s="75"/>
      <c r="G61" s="75"/>
      <c r="H61" s="75"/>
      <c r="I61" s="76"/>
      <c r="J61" s="76"/>
      <c r="K61" s="75"/>
      <c r="L61" s="75" t="b">
        <v>0</v>
      </c>
      <c r="M61" s="75"/>
      <c r="N61" s="75"/>
    </row>
    <row r="62" ht="19.5" customHeight="1">
      <c r="A62" s="70"/>
      <c r="B62" s="70"/>
      <c r="C62" s="70"/>
      <c r="D62" s="70"/>
      <c r="E62" s="70"/>
      <c r="F62" s="70"/>
      <c r="G62" s="70"/>
      <c r="H62" s="70"/>
      <c r="I62" s="71"/>
      <c r="J62" s="71"/>
      <c r="K62" s="70"/>
      <c r="L62" s="70" t="b">
        <v>0</v>
      </c>
      <c r="M62" s="70"/>
      <c r="N62" s="70"/>
    </row>
    <row r="63" ht="19.5" customHeight="1">
      <c r="A63" s="75"/>
      <c r="B63" s="75"/>
      <c r="C63" s="75"/>
      <c r="D63" s="75"/>
      <c r="E63" s="75"/>
      <c r="F63" s="75"/>
      <c r="G63" s="75"/>
      <c r="H63" s="75"/>
      <c r="I63" s="76"/>
      <c r="J63" s="76"/>
      <c r="K63" s="75"/>
      <c r="L63" s="75" t="b">
        <v>0</v>
      </c>
      <c r="M63" s="75"/>
      <c r="N63" s="75"/>
    </row>
    <row r="64" ht="19.5" customHeight="1">
      <c r="A64" s="70"/>
      <c r="B64" s="70"/>
      <c r="C64" s="70"/>
      <c r="D64" s="70"/>
      <c r="E64" s="70"/>
      <c r="F64" s="70"/>
      <c r="G64" s="70"/>
      <c r="H64" s="70"/>
      <c r="I64" s="71"/>
      <c r="J64" s="71"/>
      <c r="K64" s="70"/>
      <c r="L64" s="70" t="b">
        <v>0</v>
      </c>
      <c r="M64" s="70"/>
      <c r="N64" s="70"/>
    </row>
    <row r="65" ht="19.5" customHeight="1">
      <c r="A65" s="75"/>
      <c r="B65" s="75"/>
      <c r="C65" s="75"/>
      <c r="D65" s="75"/>
      <c r="E65" s="75"/>
      <c r="F65" s="75"/>
      <c r="G65" s="75"/>
      <c r="H65" s="75"/>
      <c r="I65" s="76"/>
      <c r="J65" s="76"/>
      <c r="K65" s="75"/>
      <c r="L65" s="75" t="b">
        <v>0</v>
      </c>
      <c r="M65" s="75"/>
      <c r="N65" s="75"/>
    </row>
    <row r="66" ht="19.5" customHeight="1">
      <c r="A66" s="70"/>
      <c r="B66" s="70"/>
      <c r="C66" s="70"/>
      <c r="D66" s="70"/>
      <c r="E66" s="70"/>
      <c r="F66" s="70"/>
      <c r="G66" s="70"/>
      <c r="H66" s="70"/>
      <c r="I66" s="71"/>
      <c r="J66" s="71"/>
      <c r="K66" s="70"/>
      <c r="L66" s="70" t="b">
        <v>0</v>
      </c>
      <c r="M66" s="70"/>
      <c r="N66" s="70"/>
    </row>
    <row r="67" ht="19.5" customHeight="1">
      <c r="A67" s="75"/>
      <c r="B67" s="75"/>
      <c r="C67" s="75"/>
      <c r="D67" s="75"/>
      <c r="E67" s="75"/>
      <c r="F67" s="75"/>
      <c r="G67" s="75"/>
      <c r="H67" s="75"/>
      <c r="I67" s="76"/>
      <c r="J67" s="76"/>
      <c r="K67" s="75"/>
      <c r="L67" s="75" t="b">
        <v>0</v>
      </c>
      <c r="M67" s="75"/>
      <c r="N67" s="75"/>
    </row>
    <row r="68" ht="19.5" customHeight="1">
      <c r="A68" s="70"/>
      <c r="B68" s="70"/>
      <c r="C68" s="70"/>
      <c r="D68" s="70"/>
      <c r="E68" s="70"/>
      <c r="F68" s="70"/>
      <c r="G68" s="70"/>
      <c r="H68" s="70"/>
      <c r="I68" s="71"/>
      <c r="J68" s="71"/>
      <c r="K68" s="70"/>
      <c r="L68" s="70" t="b">
        <v>0</v>
      </c>
      <c r="M68" s="70"/>
      <c r="N68" s="70"/>
    </row>
    <row r="69" ht="19.5" customHeight="1">
      <c r="A69" s="75"/>
      <c r="B69" s="75"/>
      <c r="C69" s="75"/>
      <c r="D69" s="75"/>
      <c r="E69" s="75"/>
      <c r="F69" s="75"/>
      <c r="G69" s="75"/>
      <c r="H69" s="75"/>
      <c r="I69" s="76"/>
      <c r="J69" s="76"/>
      <c r="K69" s="75"/>
      <c r="L69" s="75" t="b">
        <v>0</v>
      </c>
      <c r="M69" s="75"/>
      <c r="N69" s="75"/>
    </row>
    <row r="70" ht="19.5" customHeight="1">
      <c r="A70" s="70"/>
      <c r="B70" s="70"/>
      <c r="C70" s="70"/>
      <c r="D70" s="70"/>
      <c r="E70" s="70"/>
      <c r="F70" s="70"/>
      <c r="G70" s="70"/>
      <c r="H70" s="70"/>
      <c r="I70" s="71"/>
      <c r="J70" s="71"/>
      <c r="K70" s="70"/>
      <c r="L70" s="70" t="b">
        <v>0</v>
      </c>
      <c r="M70" s="70"/>
      <c r="N70" s="70"/>
    </row>
    <row r="71" ht="19.5" customHeight="1">
      <c r="A71" s="75"/>
      <c r="B71" s="75"/>
      <c r="C71" s="75"/>
      <c r="D71" s="75"/>
      <c r="E71" s="75"/>
      <c r="F71" s="75"/>
      <c r="G71" s="75"/>
      <c r="H71" s="75"/>
      <c r="I71" s="76"/>
      <c r="J71" s="76"/>
      <c r="K71" s="75"/>
      <c r="L71" s="75" t="b">
        <v>0</v>
      </c>
      <c r="M71" s="75"/>
      <c r="N71" s="75"/>
    </row>
    <row r="72" ht="19.5" customHeight="1">
      <c r="A72" s="70"/>
      <c r="B72" s="70"/>
      <c r="C72" s="70"/>
      <c r="D72" s="70"/>
      <c r="E72" s="70"/>
      <c r="F72" s="70"/>
      <c r="G72" s="70"/>
      <c r="H72" s="70"/>
      <c r="I72" s="71"/>
      <c r="J72" s="71"/>
      <c r="K72" s="70"/>
      <c r="L72" s="70" t="b">
        <v>0</v>
      </c>
      <c r="M72" s="70"/>
      <c r="N72" s="70"/>
    </row>
    <row r="73" ht="19.5" customHeight="1">
      <c r="A73" s="75"/>
      <c r="B73" s="75"/>
      <c r="C73" s="75"/>
      <c r="D73" s="75"/>
      <c r="E73" s="75"/>
      <c r="F73" s="75"/>
      <c r="G73" s="75"/>
      <c r="H73" s="75"/>
      <c r="I73" s="76"/>
      <c r="J73" s="76"/>
      <c r="K73" s="75"/>
      <c r="L73" s="75" t="b">
        <v>0</v>
      </c>
      <c r="M73" s="75"/>
      <c r="N73" s="75"/>
    </row>
    <row r="74" ht="19.5" customHeight="1">
      <c r="A74" s="70"/>
      <c r="B74" s="70"/>
      <c r="C74" s="70"/>
      <c r="D74" s="70"/>
      <c r="E74" s="70"/>
      <c r="F74" s="70"/>
      <c r="G74" s="70"/>
      <c r="H74" s="70"/>
      <c r="I74" s="71"/>
      <c r="J74" s="71"/>
      <c r="K74" s="70"/>
      <c r="L74" s="70" t="b">
        <v>0</v>
      </c>
      <c r="M74" s="70"/>
      <c r="N74" s="70"/>
    </row>
    <row r="75" ht="19.5" customHeight="1">
      <c r="A75" s="75"/>
      <c r="B75" s="75"/>
      <c r="C75" s="75"/>
      <c r="D75" s="75"/>
      <c r="E75" s="75"/>
      <c r="F75" s="75"/>
      <c r="G75" s="75"/>
      <c r="H75" s="75"/>
      <c r="I75" s="76"/>
      <c r="J75" s="76"/>
      <c r="K75" s="75"/>
      <c r="L75" s="75" t="b">
        <v>0</v>
      </c>
      <c r="M75" s="75"/>
      <c r="N75" s="75"/>
    </row>
    <row r="76" ht="19.5" customHeight="1">
      <c r="A76" s="70"/>
      <c r="B76" s="70"/>
      <c r="C76" s="70"/>
      <c r="D76" s="70"/>
      <c r="E76" s="70"/>
      <c r="F76" s="70"/>
      <c r="G76" s="70"/>
      <c r="H76" s="70"/>
      <c r="I76" s="71"/>
      <c r="J76" s="71"/>
      <c r="K76" s="70"/>
      <c r="L76" s="70" t="b">
        <v>0</v>
      </c>
      <c r="M76" s="70"/>
      <c r="N76" s="70"/>
    </row>
    <row r="77" ht="19.5" customHeight="1">
      <c r="A77" s="75"/>
      <c r="B77" s="75"/>
      <c r="C77" s="75"/>
      <c r="D77" s="75"/>
      <c r="E77" s="75"/>
      <c r="F77" s="75"/>
      <c r="G77" s="75"/>
      <c r="H77" s="75"/>
      <c r="I77" s="76"/>
      <c r="J77" s="76"/>
      <c r="K77" s="75"/>
      <c r="L77" s="75" t="b">
        <v>0</v>
      </c>
      <c r="M77" s="75"/>
      <c r="N77" s="75"/>
    </row>
    <row r="78" ht="19.5" customHeight="1">
      <c r="A78" s="70"/>
      <c r="B78" s="70"/>
      <c r="C78" s="70"/>
      <c r="D78" s="70"/>
      <c r="E78" s="70"/>
      <c r="F78" s="70"/>
      <c r="G78" s="70"/>
      <c r="H78" s="70"/>
      <c r="I78" s="71"/>
      <c r="J78" s="71"/>
      <c r="K78" s="70"/>
      <c r="L78" s="70" t="b">
        <v>0</v>
      </c>
      <c r="M78" s="70"/>
      <c r="N78" s="70"/>
    </row>
    <row r="79" ht="19.5" customHeight="1">
      <c r="A79" s="75"/>
      <c r="B79" s="75"/>
      <c r="C79" s="75"/>
      <c r="D79" s="75"/>
      <c r="E79" s="75"/>
      <c r="F79" s="75"/>
      <c r="G79" s="75"/>
      <c r="H79" s="75"/>
      <c r="I79" s="76"/>
      <c r="J79" s="76"/>
      <c r="K79" s="75"/>
      <c r="L79" s="75" t="b">
        <v>0</v>
      </c>
      <c r="M79" s="75"/>
      <c r="N79" s="75"/>
    </row>
    <row r="80" ht="19.5" customHeight="1">
      <c r="A80" s="70"/>
      <c r="B80" s="70"/>
      <c r="C80" s="70"/>
      <c r="D80" s="70"/>
      <c r="E80" s="70"/>
      <c r="F80" s="70"/>
      <c r="G80" s="70"/>
      <c r="H80" s="70"/>
      <c r="I80" s="71"/>
      <c r="J80" s="71"/>
      <c r="K80" s="70"/>
      <c r="L80" s="70" t="b">
        <v>0</v>
      </c>
      <c r="M80" s="70"/>
      <c r="N80" s="70"/>
    </row>
    <row r="81" ht="19.5" customHeight="1">
      <c r="A81" s="75"/>
      <c r="B81" s="75"/>
      <c r="C81" s="75"/>
      <c r="D81" s="75"/>
      <c r="E81" s="75"/>
      <c r="F81" s="75"/>
      <c r="G81" s="75"/>
      <c r="H81" s="75"/>
      <c r="I81" s="76"/>
      <c r="J81" s="76"/>
      <c r="K81" s="75"/>
      <c r="L81" s="75" t="b">
        <v>0</v>
      </c>
      <c r="M81" s="75"/>
      <c r="N81" s="75"/>
    </row>
    <row r="82" ht="19.5" customHeight="1">
      <c r="A82" s="70"/>
      <c r="B82" s="70"/>
      <c r="C82" s="70"/>
      <c r="D82" s="70"/>
      <c r="E82" s="70"/>
      <c r="F82" s="70"/>
      <c r="G82" s="70"/>
      <c r="H82" s="70"/>
      <c r="I82" s="71"/>
      <c r="J82" s="71"/>
      <c r="K82" s="70"/>
      <c r="L82" s="70" t="b">
        <v>0</v>
      </c>
      <c r="M82" s="70"/>
      <c r="N82" s="70"/>
    </row>
    <row r="83" ht="19.5" customHeight="1">
      <c r="A83" s="75"/>
      <c r="B83" s="75"/>
      <c r="C83" s="75"/>
      <c r="D83" s="75"/>
      <c r="E83" s="75"/>
      <c r="F83" s="75"/>
      <c r="G83" s="75"/>
      <c r="H83" s="75"/>
      <c r="I83" s="76"/>
      <c r="J83" s="76"/>
      <c r="K83" s="75"/>
      <c r="L83" s="75" t="b">
        <v>0</v>
      </c>
      <c r="M83" s="75"/>
      <c r="N83" s="75"/>
    </row>
    <row r="84" ht="19.5" customHeight="1">
      <c r="A84" s="70"/>
      <c r="B84" s="70"/>
      <c r="C84" s="70"/>
      <c r="D84" s="70"/>
      <c r="E84" s="70"/>
      <c r="F84" s="70"/>
      <c r="G84" s="70"/>
      <c r="H84" s="70"/>
      <c r="I84" s="71"/>
      <c r="J84" s="71"/>
      <c r="K84" s="70"/>
      <c r="L84" s="70" t="b">
        <v>0</v>
      </c>
      <c r="M84" s="70"/>
      <c r="N84" s="70"/>
    </row>
    <row r="85" ht="19.5" customHeight="1">
      <c r="A85" s="75"/>
      <c r="B85" s="75"/>
      <c r="C85" s="75"/>
      <c r="D85" s="75"/>
      <c r="E85" s="75"/>
      <c r="F85" s="75"/>
      <c r="G85" s="75"/>
      <c r="H85" s="75"/>
      <c r="I85" s="76"/>
      <c r="J85" s="76"/>
      <c r="K85" s="75"/>
      <c r="L85" s="75" t="b">
        <v>0</v>
      </c>
      <c r="M85" s="75"/>
      <c r="N85" s="75"/>
    </row>
    <row r="86" ht="19.5" customHeight="1">
      <c r="A86" s="70"/>
      <c r="B86" s="70"/>
      <c r="C86" s="70"/>
      <c r="D86" s="70"/>
      <c r="E86" s="70"/>
      <c r="F86" s="70"/>
      <c r="G86" s="70"/>
      <c r="H86" s="70"/>
      <c r="I86" s="71"/>
      <c r="J86" s="71"/>
      <c r="K86" s="70"/>
      <c r="L86" s="70" t="b">
        <v>0</v>
      </c>
      <c r="M86" s="70"/>
      <c r="N86" s="70"/>
    </row>
    <row r="87" ht="19.5" customHeight="1">
      <c r="A87" s="75"/>
      <c r="B87" s="75"/>
      <c r="C87" s="75"/>
      <c r="D87" s="75"/>
      <c r="E87" s="75"/>
      <c r="F87" s="75"/>
      <c r="G87" s="75"/>
      <c r="H87" s="75"/>
      <c r="I87" s="76"/>
      <c r="J87" s="76"/>
      <c r="K87" s="75"/>
      <c r="L87" s="75" t="b">
        <v>0</v>
      </c>
      <c r="M87" s="75"/>
      <c r="N87" s="75"/>
    </row>
    <row r="88" ht="19.5" customHeight="1">
      <c r="A88" s="70"/>
      <c r="B88" s="70"/>
      <c r="C88" s="70"/>
      <c r="D88" s="70"/>
      <c r="E88" s="70"/>
      <c r="F88" s="70"/>
      <c r="G88" s="70"/>
      <c r="H88" s="70"/>
      <c r="I88" s="71"/>
      <c r="J88" s="71"/>
      <c r="K88" s="70"/>
      <c r="L88" s="70" t="b">
        <v>0</v>
      </c>
      <c r="M88" s="70"/>
      <c r="N88" s="70"/>
    </row>
    <row r="89" ht="19.5" customHeight="1">
      <c r="A89" s="75"/>
      <c r="B89" s="75"/>
      <c r="C89" s="75"/>
      <c r="D89" s="75"/>
      <c r="E89" s="75"/>
      <c r="F89" s="75"/>
      <c r="G89" s="75"/>
      <c r="H89" s="75"/>
      <c r="I89" s="76"/>
      <c r="J89" s="76"/>
      <c r="K89" s="75"/>
      <c r="L89" s="75" t="b">
        <v>0</v>
      </c>
      <c r="M89" s="75"/>
      <c r="N89" s="75"/>
    </row>
    <row r="90" ht="19.5" customHeight="1">
      <c r="A90" s="70"/>
      <c r="B90" s="70"/>
      <c r="C90" s="70"/>
      <c r="D90" s="70"/>
      <c r="E90" s="70"/>
      <c r="F90" s="70"/>
      <c r="G90" s="70"/>
      <c r="H90" s="70"/>
      <c r="I90" s="71"/>
      <c r="J90" s="71"/>
      <c r="K90" s="70"/>
      <c r="L90" s="70" t="b">
        <v>0</v>
      </c>
      <c r="M90" s="70"/>
      <c r="N90" s="70"/>
    </row>
    <row r="91" ht="19.5" customHeight="1">
      <c r="A91" s="75"/>
      <c r="B91" s="75"/>
      <c r="C91" s="75"/>
      <c r="D91" s="75"/>
      <c r="E91" s="75"/>
      <c r="F91" s="75"/>
      <c r="G91" s="75"/>
      <c r="H91" s="75"/>
      <c r="I91" s="76"/>
      <c r="J91" s="76"/>
      <c r="K91" s="75"/>
      <c r="L91" s="75" t="b">
        <v>0</v>
      </c>
      <c r="M91" s="75"/>
      <c r="N91" s="75"/>
    </row>
    <row r="92" ht="19.5" customHeight="1">
      <c r="A92" s="70"/>
      <c r="B92" s="70"/>
      <c r="C92" s="70"/>
      <c r="D92" s="70"/>
      <c r="E92" s="70"/>
      <c r="F92" s="70"/>
      <c r="G92" s="70"/>
      <c r="H92" s="70"/>
      <c r="I92" s="71"/>
      <c r="J92" s="71"/>
      <c r="K92" s="70"/>
      <c r="L92" s="70" t="b">
        <v>0</v>
      </c>
      <c r="M92" s="70"/>
      <c r="N92" s="70"/>
    </row>
    <row r="93" ht="19.5" customHeight="1">
      <c r="A93" s="75"/>
      <c r="B93" s="75"/>
      <c r="C93" s="75"/>
      <c r="D93" s="75"/>
      <c r="E93" s="75"/>
      <c r="F93" s="75"/>
      <c r="G93" s="75"/>
      <c r="H93" s="75"/>
      <c r="I93" s="76"/>
      <c r="J93" s="76"/>
      <c r="K93" s="75"/>
      <c r="L93" s="75" t="b">
        <v>0</v>
      </c>
      <c r="M93" s="75"/>
      <c r="N93" s="75"/>
    </row>
    <row r="94" ht="19.5" customHeight="1">
      <c r="A94" s="70"/>
      <c r="B94" s="70"/>
      <c r="C94" s="70"/>
      <c r="D94" s="70"/>
      <c r="E94" s="70"/>
      <c r="F94" s="70"/>
      <c r="G94" s="70"/>
      <c r="H94" s="70"/>
      <c r="I94" s="71"/>
      <c r="J94" s="71"/>
      <c r="K94" s="70"/>
      <c r="L94" s="70" t="b">
        <v>0</v>
      </c>
      <c r="M94" s="70"/>
      <c r="N94" s="70"/>
    </row>
    <row r="95" ht="19.5" customHeight="1">
      <c r="A95" s="75"/>
      <c r="B95" s="75"/>
      <c r="C95" s="75"/>
      <c r="D95" s="75"/>
      <c r="E95" s="75"/>
      <c r="F95" s="75"/>
      <c r="G95" s="75"/>
      <c r="H95" s="75"/>
      <c r="I95" s="76"/>
      <c r="J95" s="76"/>
      <c r="K95" s="75"/>
      <c r="L95" s="75" t="b">
        <v>0</v>
      </c>
      <c r="M95" s="75"/>
      <c r="N95" s="75"/>
    </row>
    <row r="96" ht="19.5" customHeight="1">
      <c r="A96" s="70"/>
      <c r="B96" s="70"/>
      <c r="C96" s="70"/>
      <c r="D96" s="70"/>
      <c r="E96" s="70"/>
      <c r="F96" s="70"/>
      <c r="G96" s="70"/>
      <c r="H96" s="70"/>
      <c r="I96" s="71"/>
      <c r="J96" s="71"/>
      <c r="K96" s="70"/>
      <c r="L96" s="70" t="b">
        <v>0</v>
      </c>
      <c r="M96" s="70"/>
      <c r="N96" s="70"/>
    </row>
    <row r="97" ht="19.5" customHeight="1">
      <c r="A97" s="75"/>
      <c r="B97" s="75"/>
      <c r="C97" s="75"/>
      <c r="D97" s="75"/>
      <c r="E97" s="75"/>
      <c r="F97" s="75"/>
      <c r="G97" s="75"/>
      <c r="H97" s="75"/>
      <c r="I97" s="76"/>
      <c r="J97" s="76"/>
      <c r="K97" s="75"/>
      <c r="L97" s="75" t="b">
        <v>0</v>
      </c>
      <c r="M97" s="75"/>
      <c r="N97" s="75"/>
    </row>
    <row r="98" ht="19.5" customHeight="1">
      <c r="A98" s="70"/>
      <c r="B98" s="70"/>
      <c r="C98" s="70"/>
      <c r="D98" s="70"/>
      <c r="E98" s="70"/>
      <c r="F98" s="70"/>
      <c r="G98" s="70"/>
      <c r="H98" s="70"/>
      <c r="I98" s="71"/>
      <c r="J98" s="71"/>
      <c r="K98" s="70"/>
      <c r="L98" s="70" t="b">
        <v>0</v>
      </c>
      <c r="M98" s="70"/>
      <c r="N98" s="70"/>
    </row>
    <row r="99" ht="19.5" customHeight="1">
      <c r="A99" s="75"/>
      <c r="B99" s="75"/>
      <c r="C99" s="75"/>
      <c r="D99" s="75"/>
      <c r="E99" s="75"/>
      <c r="F99" s="75"/>
      <c r="G99" s="75"/>
      <c r="H99" s="75"/>
      <c r="I99" s="76"/>
      <c r="J99" s="76"/>
      <c r="K99" s="75"/>
      <c r="L99" s="75" t="b">
        <v>0</v>
      </c>
      <c r="M99" s="75"/>
      <c r="N99" s="75"/>
    </row>
    <row r="100" ht="19.5" customHeight="1">
      <c r="A100" s="70"/>
      <c r="B100" s="70"/>
      <c r="C100" s="70"/>
      <c r="D100" s="70"/>
      <c r="E100" s="70"/>
      <c r="F100" s="70"/>
      <c r="G100" s="70"/>
      <c r="H100" s="70"/>
      <c r="I100" s="71"/>
      <c r="J100" s="71"/>
      <c r="K100" s="70"/>
      <c r="L100" s="70" t="b">
        <v>0</v>
      </c>
      <c r="M100" s="70"/>
      <c r="N100" s="70"/>
    </row>
    <row r="101" ht="19.5" customHeight="1">
      <c r="A101" s="75"/>
      <c r="B101" s="75"/>
      <c r="C101" s="75"/>
      <c r="D101" s="75"/>
      <c r="E101" s="75"/>
      <c r="F101" s="75"/>
      <c r="G101" s="75"/>
      <c r="H101" s="75"/>
      <c r="I101" s="76"/>
      <c r="J101" s="76"/>
      <c r="K101" s="75"/>
      <c r="L101" s="75" t="b">
        <v>0</v>
      </c>
      <c r="M101" s="75"/>
      <c r="N101" s="75"/>
    </row>
    <row r="102" ht="19.5" customHeight="1">
      <c r="A102" s="70"/>
      <c r="B102" s="70"/>
      <c r="C102" s="70"/>
      <c r="D102" s="70"/>
      <c r="E102" s="70"/>
      <c r="F102" s="70"/>
      <c r="G102" s="70"/>
      <c r="H102" s="70"/>
      <c r="I102" s="71"/>
      <c r="J102" s="71"/>
      <c r="K102" s="70"/>
      <c r="L102" s="70" t="b">
        <v>0</v>
      </c>
      <c r="M102" s="70"/>
      <c r="N102" s="70"/>
    </row>
    <row r="103" ht="19.5" customHeight="1">
      <c r="A103" s="75"/>
      <c r="B103" s="75"/>
      <c r="C103" s="75"/>
      <c r="D103" s="75"/>
      <c r="E103" s="75"/>
      <c r="F103" s="75"/>
      <c r="G103" s="75"/>
      <c r="H103" s="75"/>
      <c r="I103" s="76"/>
      <c r="J103" s="76"/>
      <c r="K103" s="75"/>
      <c r="L103" s="75" t="b">
        <v>0</v>
      </c>
      <c r="M103" s="75"/>
      <c r="N103" s="75"/>
    </row>
    <row r="104" ht="19.5" customHeight="1">
      <c r="A104" s="70"/>
      <c r="B104" s="70"/>
      <c r="C104" s="70"/>
      <c r="D104" s="70"/>
      <c r="E104" s="70"/>
      <c r="F104" s="70"/>
      <c r="G104" s="70"/>
      <c r="H104" s="70"/>
      <c r="I104" s="71"/>
      <c r="J104" s="71"/>
      <c r="K104" s="70"/>
      <c r="L104" s="70" t="b">
        <v>0</v>
      </c>
      <c r="M104" s="70"/>
      <c r="N104" s="70"/>
    </row>
    <row r="105" ht="19.5" customHeight="1">
      <c r="A105" s="75"/>
      <c r="B105" s="75"/>
      <c r="C105" s="75"/>
      <c r="D105" s="75"/>
      <c r="E105" s="75"/>
      <c r="F105" s="75"/>
      <c r="G105" s="75"/>
      <c r="H105" s="75"/>
      <c r="I105" s="76"/>
      <c r="J105" s="76"/>
      <c r="K105" s="75"/>
      <c r="L105" s="75" t="b">
        <v>0</v>
      </c>
      <c r="M105" s="75"/>
      <c r="N105" s="75"/>
    </row>
    <row r="106" ht="19.5" customHeight="1">
      <c r="A106" s="70"/>
      <c r="B106" s="70"/>
      <c r="C106" s="70"/>
      <c r="D106" s="70"/>
      <c r="E106" s="70"/>
      <c r="F106" s="70"/>
      <c r="G106" s="70"/>
      <c r="H106" s="70"/>
      <c r="I106" s="71"/>
      <c r="J106" s="71"/>
      <c r="K106" s="70"/>
      <c r="L106" s="70" t="b">
        <v>0</v>
      </c>
      <c r="M106" s="70"/>
      <c r="N106" s="70"/>
    </row>
    <row r="107" ht="19.5" customHeight="1">
      <c r="A107" s="75"/>
      <c r="B107" s="75"/>
      <c r="C107" s="75"/>
      <c r="D107" s="75"/>
      <c r="E107" s="75"/>
      <c r="F107" s="75"/>
      <c r="G107" s="75"/>
      <c r="H107" s="75"/>
      <c r="I107" s="76"/>
      <c r="J107" s="76"/>
      <c r="K107" s="75"/>
      <c r="L107" s="75" t="b">
        <v>0</v>
      </c>
      <c r="M107" s="75"/>
      <c r="N107" s="75"/>
    </row>
    <row r="108" ht="19.5" customHeight="1">
      <c r="A108" s="70"/>
      <c r="B108" s="70"/>
      <c r="C108" s="70"/>
      <c r="D108" s="70"/>
      <c r="E108" s="70"/>
      <c r="F108" s="70"/>
      <c r="G108" s="70"/>
      <c r="H108" s="70"/>
      <c r="I108" s="71"/>
      <c r="J108" s="71"/>
      <c r="K108" s="70"/>
      <c r="L108" s="70" t="b">
        <v>0</v>
      </c>
      <c r="M108" s="70"/>
      <c r="N108" s="70"/>
    </row>
    <row r="109" ht="19.5" customHeight="1">
      <c r="A109" s="75"/>
      <c r="B109" s="75"/>
      <c r="C109" s="75"/>
      <c r="D109" s="75"/>
      <c r="E109" s="75"/>
      <c r="F109" s="75"/>
      <c r="G109" s="75"/>
      <c r="H109" s="75"/>
      <c r="I109" s="76"/>
      <c r="J109" s="76"/>
      <c r="K109" s="75"/>
      <c r="L109" s="75" t="b">
        <v>0</v>
      </c>
      <c r="M109" s="75"/>
      <c r="N109" s="75"/>
    </row>
    <row r="110" ht="19.5" customHeight="1">
      <c r="A110" s="70"/>
      <c r="B110" s="70"/>
      <c r="C110" s="70"/>
      <c r="D110" s="70"/>
      <c r="E110" s="70"/>
      <c r="F110" s="70"/>
      <c r="G110" s="70"/>
      <c r="H110" s="70"/>
      <c r="I110" s="71"/>
      <c r="J110" s="71"/>
      <c r="K110" s="70"/>
      <c r="L110" s="70" t="b">
        <v>0</v>
      </c>
      <c r="M110" s="70"/>
      <c r="N110" s="70"/>
    </row>
    <row r="111" ht="19.5" customHeight="1">
      <c r="A111" s="75"/>
      <c r="B111" s="75"/>
      <c r="C111" s="75"/>
      <c r="D111" s="75"/>
      <c r="E111" s="75"/>
      <c r="F111" s="75"/>
      <c r="G111" s="75"/>
      <c r="H111" s="75"/>
      <c r="I111" s="76"/>
      <c r="J111" s="76"/>
      <c r="K111" s="75"/>
      <c r="L111" s="75" t="b">
        <v>0</v>
      </c>
      <c r="M111" s="75"/>
      <c r="N111" s="75"/>
    </row>
    <row r="112" ht="19.5" customHeight="1">
      <c r="A112" s="70"/>
      <c r="B112" s="70"/>
      <c r="C112" s="70"/>
      <c r="D112" s="70"/>
      <c r="E112" s="70"/>
      <c r="F112" s="70"/>
      <c r="G112" s="70"/>
      <c r="H112" s="70"/>
      <c r="I112" s="71"/>
      <c r="J112" s="71"/>
      <c r="K112" s="70"/>
      <c r="L112" s="70" t="b">
        <v>0</v>
      </c>
      <c r="M112" s="70"/>
      <c r="N112" s="70"/>
    </row>
    <row r="113" ht="19.5" customHeight="1">
      <c r="A113" s="75"/>
      <c r="B113" s="75"/>
      <c r="C113" s="75"/>
      <c r="D113" s="75"/>
      <c r="E113" s="75"/>
      <c r="F113" s="75"/>
      <c r="G113" s="75"/>
      <c r="H113" s="75"/>
      <c r="I113" s="76"/>
      <c r="J113" s="76"/>
      <c r="K113" s="75"/>
      <c r="L113" s="75" t="b">
        <v>0</v>
      </c>
      <c r="M113" s="75"/>
      <c r="N113" s="75"/>
    </row>
    <row r="114" ht="19.5" customHeight="1">
      <c r="A114" s="70"/>
      <c r="B114" s="70"/>
      <c r="C114" s="70"/>
      <c r="D114" s="70"/>
      <c r="E114" s="70"/>
      <c r="F114" s="70"/>
      <c r="G114" s="70"/>
      <c r="H114" s="70"/>
      <c r="I114" s="71"/>
      <c r="J114" s="71"/>
      <c r="K114" s="70"/>
      <c r="L114" s="70" t="b">
        <v>0</v>
      </c>
      <c r="M114" s="70"/>
      <c r="N114" s="70"/>
    </row>
    <row r="115" ht="19.5" customHeight="1">
      <c r="A115" s="75"/>
      <c r="B115" s="75"/>
      <c r="C115" s="75"/>
      <c r="D115" s="75"/>
      <c r="E115" s="75"/>
      <c r="F115" s="75"/>
      <c r="G115" s="75"/>
      <c r="H115" s="75"/>
      <c r="I115" s="76"/>
      <c r="J115" s="76"/>
      <c r="K115" s="75"/>
      <c r="L115" s="75" t="b">
        <v>0</v>
      </c>
      <c r="M115" s="75"/>
      <c r="N115" s="75"/>
    </row>
    <row r="116" ht="19.5" customHeight="1">
      <c r="A116" s="70"/>
      <c r="B116" s="70"/>
      <c r="C116" s="70"/>
      <c r="D116" s="70"/>
      <c r="E116" s="70"/>
      <c r="F116" s="70"/>
      <c r="G116" s="70"/>
      <c r="H116" s="70"/>
      <c r="I116" s="71"/>
      <c r="J116" s="71"/>
      <c r="K116" s="70"/>
      <c r="L116" s="70" t="b">
        <v>0</v>
      </c>
      <c r="M116" s="70"/>
      <c r="N116" s="70"/>
    </row>
    <row r="117" ht="19.5" customHeight="1">
      <c r="A117" s="75"/>
      <c r="B117" s="75"/>
      <c r="C117" s="75"/>
      <c r="D117" s="75"/>
      <c r="E117" s="75"/>
      <c r="F117" s="75"/>
      <c r="G117" s="75"/>
      <c r="H117" s="75"/>
      <c r="I117" s="76"/>
      <c r="J117" s="76"/>
      <c r="K117" s="75"/>
      <c r="L117" s="75" t="b">
        <v>0</v>
      </c>
      <c r="M117" s="75"/>
      <c r="N117" s="75"/>
    </row>
    <row r="118" ht="19.5" customHeight="1">
      <c r="A118" s="70"/>
      <c r="B118" s="70"/>
      <c r="C118" s="70"/>
      <c r="D118" s="70"/>
      <c r="E118" s="70"/>
      <c r="F118" s="70"/>
      <c r="G118" s="70"/>
      <c r="H118" s="70"/>
      <c r="I118" s="71"/>
      <c r="J118" s="71"/>
      <c r="K118" s="70"/>
      <c r="L118" s="70" t="b">
        <v>0</v>
      </c>
      <c r="M118" s="70"/>
      <c r="N118" s="70"/>
    </row>
    <row r="119" ht="19.5" customHeight="1">
      <c r="A119" s="75"/>
      <c r="B119" s="75"/>
      <c r="C119" s="75"/>
      <c r="D119" s="75"/>
      <c r="E119" s="75"/>
      <c r="F119" s="75"/>
      <c r="G119" s="75"/>
      <c r="H119" s="75"/>
      <c r="I119" s="76"/>
      <c r="J119" s="76"/>
      <c r="K119" s="75"/>
      <c r="L119" s="75" t="b">
        <v>0</v>
      </c>
      <c r="M119" s="75"/>
      <c r="N119" s="75"/>
    </row>
    <row r="120" ht="19.5" customHeight="1">
      <c r="A120" s="70"/>
      <c r="B120" s="70"/>
      <c r="C120" s="70"/>
      <c r="D120" s="70"/>
      <c r="E120" s="70"/>
      <c r="F120" s="70"/>
      <c r="G120" s="70"/>
      <c r="H120" s="70"/>
      <c r="I120" s="71"/>
      <c r="J120" s="71"/>
      <c r="K120" s="70"/>
      <c r="L120" s="70" t="b">
        <v>0</v>
      </c>
      <c r="M120" s="70"/>
      <c r="N120" s="70"/>
    </row>
    <row r="121" ht="19.5" customHeight="1">
      <c r="A121" s="75"/>
      <c r="B121" s="75"/>
      <c r="C121" s="75"/>
      <c r="D121" s="75"/>
      <c r="E121" s="75"/>
      <c r="F121" s="75"/>
      <c r="G121" s="75"/>
      <c r="H121" s="75"/>
      <c r="I121" s="76"/>
      <c r="J121" s="76"/>
      <c r="K121" s="75"/>
      <c r="L121" s="75" t="b">
        <v>0</v>
      </c>
      <c r="M121" s="75"/>
      <c r="N121" s="75"/>
    </row>
    <row r="122" ht="19.5" customHeight="1">
      <c r="A122" s="70"/>
      <c r="B122" s="70"/>
      <c r="C122" s="70"/>
      <c r="D122" s="70"/>
      <c r="E122" s="70"/>
      <c r="F122" s="70"/>
      <c r="G122" s="70"/>
      <c r="H122" s="70"/>
      <c r="I122" s="71"/>
      <c r="J122" s="71"/>
      <c r="K122" s="70"/>
      <c r="L122" s="70" t="b">
        <v>0</v>
      </c>
      <c r="M122" s="70"/>
      <c r="N122" s="70"/>
    </row>
    <row r="123" ht="19.5" customHeight="1">
      <c r="A123" s="75"/>
      <c r="B123" s="75"/>
      <c r="C123" s="75"/>
      <c r="D123" s="75"/>
      <c r="E123" s="75"/>
      <c r="F123" s="75"/>
      <c r="G123" s="75"/>
      <c r="H123" s="75"/>
      <c r="I123" s="76"/>
      <c r="J123" s="76"/>
      <c r="K123" s="75"/>
      <c r="L123" s="75" t="b">
        <v>0</v>
      </c>
      <c r="M123" s="75"/>
      <c r="N123" s="75"/>
    </row>
    <row r="124" ht="19.5" customHeight="1">
      <c r="A124" s="70"/>
      <c r="B124" s="70"/>
      <c r="C124" s="70"/>
      <c r="D124" s="70"/>
      <c r="E124" s="70"/>
      <c r="F124" s="70"/>
      <c r="G124" s="70"/>
      <c r="H124" s="70"/>
      <c r="I124" s="71"/>
      <c r="J124" s="71"/>
      <c r="K124" s="70"/>
      <c r="L124" s="70" t="b">
        <v>0</v>
      </c>
      <c r="M124" s="70"/>
      <c r="N124" s="70"/>
    </row>
    <row r="125" ht="19.5" customHeight="1">
      <c r="A125" s="75"/>
      <c r="B125" s="75"/>
      <c r="C125" s="75"/>
      <c r="D125" s="75"/>
      <c r="E125" s="75"/>
      <c r="F125" s="75"/>
      <c r="G125" s="75"/>
      <c r="H125" s="75"/>
      <c r="I125" s="76"/>
      <c r="J125" s="76"/>
      <c r="K125" s="75"/>
      <c r="L125" s="75" t="b">
        <v>0</v>
      </c>
      <c r="M125" s="75"/>
      <c r="N125" s="75"/>
    </row>
    <row r="126" ht="19.5" customHeight="1">
      <c r="A126" s="70"/>
      <c r="B126" s="70"/>
      <c r="C126" s="70"/>
      <c r="D126" s="70"/>
      <c r="E126" s="70"/>
      <c r="F126" s="70"/>
      <c r="G126" s="70"/>
      <c r="H126" s="70"/>
      <c r="I126" s="71"/>
      <c r="J126" s="71"/>
      <c r="K126" s="70"/>
      <c r="L126" s="70" t="b">
        <v>0</v>
      </c>
      <c r="M126" s="70"/>
      <c r="N126" s="70"/>
    </row>
    <row r="127" ht="19.5" customHeight="1">
      <c r="A127" s="75"/>
      <c r="B127" s="75"/>
      <c r="C127" s="75"/>
      <c r="D127" s="75"/>
      <c r="E127" s="75"/>
      <c r="F127" s="75"/>
      <c r="G127" s="75"/>
      <c r="H127" s="75"/>
      <c r="I127" s="76"/>
      <c r="J127" s="76"/>
      <c r="K127" s="75"/>
      <c r="L127" s="75" t="b">
        <v>0</v>
      </c>
      <c r="M127" s="75"/>
      <c r="N127" s="75"/>
    </row>
    <row r="128" ht="19.5" customHeight="1">
      <c r="A128" s="70"/>
      <c r="B128" s="70"/>
      <c r="C128" s="70"/>
      <c r="D128" s="70"/>
      <c r="E128" s="70"/>
      <c r="F128" s="70"/>
      <c r="G128" s="70"/>
      <c r="H128" s="70"/>
      <c r="I128" s="71"/>
      <c r="J128" s="71"/>
      <c r="K128" s="70"/>
      <c r="L128" s="70" t="b">
        <v>0</v>
      </c>
      <c r="M128" s="70"/>
      <c r="N128" s="70"/>
    </row>
    <row r="129" ht="19.5" customHeight="1">
      <c r="A129" s="75"/>
      <c r="B129" s="75"/>
      <c r="C129" s="75"/>
      <c r="D129" s="75"/>
      <c r="E129" s="75"/>
      <c r="F129" s="75"/>
      <c r="G129" s="75"/>
      <c r="H129" s="75"/>
      <c r="I129" s="76"/>
      <c r="J129" s="76"/>
      <c r="K129" s="75"/>
      <c r="L129" s="75" t="b">
        <v>0</v>
      </c>
      <c r="M129" s="75"/>
      <c r="N129" s="75"/>
    </row>
    <row r="130" ht="19.5" customHeight="1">
      <c r="A130" s="70"/>
      <c r="B130" s="70"/>
      <c r="C130" s="70"/>
      <c r="D130" s="70"/>
      <c r="E130" s="70"/>
      <c r="F130" s="70"/>
      <c r="G130" s="70"/>
      <c r="H130" s="70"/>
      <c r="I130" s="71"/>
      <c r="J130" s="71"/>
      <c r="K130" s="70"/>
      <c r="L130" s="70" t="b">
        <v>0</v>
      </c>
      <c r="M130" s="70"/>
      <c r="N130" s="70"/>
    </row>
    <row r="131" ht="19.5" customHeight="1">
      <c r="A131" s="75"/>
      <c r="B131" s="75"/>
      <c r="C131" s="75"/>
      <c r="D131" s="75"/>
      <c r="E131" s="75"/>
      <c r="F131" s="75"/>
      <c r="G131" s="75"/>
      <c r="H131" s="75"/>
      <c r="I131" s="76"/>
      <c r="J131" s="76"/>
      <c r="K131" s="75"/>
      <c r="L131" s="75" t="b">
        <v>0</v>
      </c>
      <c r="M131" s="75"/>
      <c r="N131" s="75"/>
    </row>
    <row r="132" ht="19.5" customHeight="1">
      <c r="A132" s="70"/>
      <c r="B132" s="70"/>
      <c r="C132" s="70"/>
      <c r="D132" s="70"/>
      <c r="E132" s="70"/>
      <c r="F132" s="70"/>
      <c r="G132" s="70"/>
      <c r="H132" s="70"/>
      <c r="I132" s="71"/>
      <c r="J132" s="71"/>
      <c r="K132" s="70"/>
      <c r="L132" s="70" t="b">
        <v>0</v>
      </c>
      <c r="M132" s="70"/>
      <c r="N132" s="70"/>
    </row>
    <row r="133" ht="19.5" customHeight="1">
      <c r="A133" s="75"/>
      <c r="B133" s="75"/>
      <c r="C133" s="75"/>
      <c r="D133" s="75"/>
      <c r="E133" s="75"/>
      <c r="F133" s="75"/>
      <c r="G133" s="75"/>
      <c r="H133" s="75"/>
      <c r="I133" s="76"/>
      <c r="J133" s="76"/>
      <c r="K133" s="75"/>
      <c r="L133" s="75" t="b">
        <v>0</v>
      </c>
      <c r="M133" s="75"/>
      <c r="N133" s="75"/>
    </row>
    <row r="134" ht="19.5" customHeight="1">
      <c r="A134" s="70"/>
      <c r="B134" s="70"/>
      <c r="C134" s="70"/>
      <c r="D134" s="70"/>
      <c r="E134" s="70"/>
      <c r="F134" s="70"/>
      <c r="G134" s="70"/>
      <c r="H134" s="70"/>
      <c r="I134" s="71"/>
      <c r="J134" s="71"/>
      <c r="K134" s="70"/>
      <c r="L134" s="70" t="b">
        <v>0</v>
      </c>
      <c r="M134" s="70"/>
      <c r="N134" s="70"/>
    </row>
    <row r="135" ht="19.5" customHeight="1">
      <c r="A135" s="75"/>
      <c r="B135" s="75"/>
      <c r="C135" s="75"/>
      <c r="D135" s="75"/>
      <c r="E135" s="75"/>
      <c r="F135" s="75"/>
      <c r="G135" s="75"/>
      <c r="H135" s="75"/>
      <c r="I135" s="76"/>
      <c r="J135" s="76"/>
      <c r="K135" s="75"/>
      <c r="L135" s="75" t="b">
        <v>0</v>
      </c>
      <c r="M135" s="75"/>
      <c r="N135" s="75"/>
    </row>
    <row r="136" ht="19.5" customHeight="1">
      <c r="A136" s="70"/>
      <c r="B136" s="70"/>
      <c r="C136" s="70"/>
      <c r="D136" s="70"/>
      <c r="E136" s="70"/>
      <c r="F136" s="70"/>
      <c r="G136" s="70"/>
      <c r="H136" s="70"/>
      <c r="I136" s="71"/>
      <c r="J136" s="71"/>
      <c r="K136" s="70"/>
      <c r="L136" s="70" t="b">
        <v>0</v>
      </c>
      <c r="M136" s="70"/>
      <c r="N136" s="70"/>
    </row>
    <row r="137" ht="19.5" customHeight="1">
      <c r="A137" s="75"/>
      <c r="B137" s="75"/>
      <c r="C137" s="75"/>
      <c r="D137" s="75"/>
      <c r="E137" s="75"/>
      <c r="F137" s="75"/>
      <c r="G137" s="75"/>
      <c r="H137" s="75"/>
      <c r="I137" s="76"/>
      <c r="J137" s="76"/>
      <c r="K137" s="75"/>
      <c r="L137" s="75" t="b">
        <v>0</v>
      </c>
      <c r="M137" s="75"/>
      <c r="N137" s="75"/>
    </row>
    <row r="138" ht="19.5" customHeight="1">
      <c r="A138" s="70"/>
      <c r="B138" s="70"/>
      <c r="C138" s="70"/>
      <c r="D138" s="70"/>
      <c r="E138" s="70"/>
      <c r="F138" s="70"/>
      <c r="G138" s="70"/>
      <c r="H138" s="70"/>
      <c r="I138" s="71"/>
      <c r="J138" s="71"/>
      <c r="K138" s="70"/>
      <c r="L138" s="70" t="b">
        <v>0</v>
      </c>
      <c r="M138" s="70"/>
      <c r="N138" s="70"/>
    </row>
    <row r="139" ht="19.5" customHeight="1">
      <c r="A139" s="75"/>
      <c r="B139" s="75"/>
      <c r="C139" s="75"/>
      <c r="D139" s="75"/>
      <c r="E139" s="75"/>
      <c r="F139" s="75"/>
      <c r="G139" s="75"/>
      <c r="H139" s="75"/>
      <c r="I139" s="76"/>
      <c r="J139" s="76"/>
      <c r="K139" s="75"/>
      <c r="L139" s="75" t="b">
        <v>0</v>
      </c>
      <c r="M139" s="75"/>
      <c r="N139" s="75"/>
    </row>
    <row r="140" ht="19.5" customHeight="1">
      <c r="A140" s="70"/>
      <c r="B140" s="70"/>
      <c r="C140" s="70"/>
      <c r="D140" s="70"/>
      <c r="E140" s="70"/>
      <c r="F140" s="70"/>
      <c r="G140" s="70"/>
      <c r="H140" s="70"/>
      <c r="I140" s="71"/>
      <c r="J140" s="71"/>
      <c r="K140" s="70"/>
      <c r="L140" s="70" t="b">
        <v>0</v>
      </c>
      <c r="M140" s="70"/>
      <c r="N140" s="70"/>
    </row>
    <row r="141" ht="19.5" customHeight="1">
      <c r="A141" s="75"/>
      <c r="B141" s="75"/>
      <c r="C141" s="75"/>
      <c r="D141" s="75"/>
      <c r="E141" s="75"/>
      <c r="F141" s="75"/>
      <c r="G141" s="75"/>
      <c r="H141" s="75"/>
      <c r="I141" s="76"/>
      <c r="J141" s="76"/>
      <c r="K141" s="75"/>
      <c r="L141" s="75" t="b">
        <v>0</v>
      </c>
      <c r="M141" s="75"/>
      <c r="N141" s="75"/>
    </row>
    <row r="142" ht="19.5" customHeight="1">
      <c r="A142" s="70"/>
      <c r="B142" s="70"/>
      <c r="C142" s="70"/>
      <c r="D142" s="70"/>
      <c r="E142" s="70"/>
      <c r="F142" s="70"/>
      <c r="G142" s="70"/>
      <c r="H142" s="70"/>
      <c r="I142" s="71"/>
      <c r="J142" s="71"/>
      <c r="K142" s="70"/>
      <c r="L142" s="70" t="b">
        <v>0</v>
      </c>
      <c r="M142" s="70"/>
      <c r="N142" s="70"/>
    </row>
    <row r="143" ht="19.5" customHeight="1">
      <c r="A143" s="75"/>
      <c r="B143" s="75"/>
      <c r="C143" s="75"/>
      <c r="D143" s="75"/>
      <c r="E143" s="75"/>
      <c r="F143" s="75"/>
      <c r="G143" s="75"/>
      <c r="H143" s="75"/>
      <c r="I143" s="76"/>
      <c r="J143" s="76"/>
      <c r="K143" s="75"/>
      <c r="L143" s="75" t="b">
        <v>0</v>
      </c>
      <c r="M143" s="75"/>
      <c r="N143" s="75"/>
    </row>
    <row r="144" ht="19.5" customHeight="1">
      <c r="A144" s="70"/>
      <c r="B144" s="70"/>
      <c r="C144" s="70"/>
      <c r="D144" s="70"/>
      <c r="E144" s="70"/>
      <c r="F144" s="70"/>
      <c r="G144" s="70"/>
      <c r="H144" s="70"/>
      <c r="I144" s="71"/>
      <c r="J144" s="71"/>
      <c r="K144" s="70"/>
      <c r="L144" s="70" t="b">
        <v>0</v>
      </c>
      <c r="M144" s="70"/>
      <c r="N144" s="70"/>
    </row>
    <row r="145" ht="19.5" customHeight="1">
      <c r="A145" s="75"/>
      <c r="B145" s="75"/>
      <c r="C145" s="75"/>
      <c r="D145" s="75"/>
      <c r="E145" s="75"/>
      <c r="F145" s="75"/>
      <c r="G145" s="75"/>
      <c r="H145" s="75"/>
      <c r="I145" s="76"/>
      <c r="J145" s="76"/>
      <c r="K145" s="75"/>
      <c r="L145" s="75" t="b">
        <v>0</v>
      </c>
      <c r="M145" s="75"/>
      <c r="N145" s="75"/>
    </row>
    <row r="146" ht="19.5" customHeight="1">
      <c r="A146" s="70"/>
      <c r="B146" s="70"/>
      <c r="C146" s="70"/>
      <c r="D146" s="70"/>
      <c r="E146" s="70"/>
      <c r="F146" s="70"/>
      <c r="G146" s="70"/>
      <c r="H146" s="70"/>
      <c r="I146" s="71"/>
      <c r="J146" s="71"/>
      <c r="K146" s="70"/>
      <c r="L146" s="70" t="b">
        <v>0</v>
      </c>
      <c r="M146" s="70"/>
      <c r="N146" s="70"/>
    </row>
    <row r="147" ht="19.5" customHeight="1">
      <c r="A147" s="75"/>
      <c r="B147" s="75"/>
      <c r="C147" s="75"/>
      <c r="D147" s="75"/>
      <c r="E147" s="75"/>
      <c r="F147" s="75"/>
      <c r="G147" s="75"/>
      <c r="H147" s="75"/>
      <c r="I147" s="76"/>
      <c r="J147" s="76"/>
      <c r="K147" s="75"/>
      <c r="L147" s="75" t="b">
        <v>0</v>
      </c>
      <c r="M147" s="75"/>
      <c r="N147" s="75"/>
    </row>
    <row r="148" ht="19.5" customHeight="1">
      <c r="A148" s="70"/>
      <c r="B148" s="70"/>
      <c r="C148" s="70"/>
      <c r="D148" s="70"/>
      <c r="E148" s="70"/>
      <c r="F148" s="70"/>
      <c r="G148" s="70"/>
      <c r="H148" s="70"/>
      <c r="I148" s="71"/>
      <c r="J148" s="71"/>
      <c r="K148" s="70"/>
      <c r="L148" s="70" t="b">
        <v>0</v>
      </c>
      <c r="M148" s="70"/>
      <c r="N148" s="70"/>
    </row>
    <row r="149" ht="19.5" customHeight="1">
      <c r="A149" s="75"/>
      <c r="B149" s="75"/>
      <c r="C149" s="75"/>
      <c r="D149" s="75"/>
      <c r="E149" s="75"/>
      <c r="F149" s="75"/>
      <c r="G149" s="75"/>
      <c r="H149" s="75"/>
      <c r="I149" s="76"/>
      <c r="J149" s="76"/>
      <c r="K149" s="75"/>
      <c r="L149" s="75" t="b">
        <v>0</v>
      </c>
      <c r="M149" s="75"/>
      <c r="N149" s="75"/>
    </row>
    <row r="150" ht="19.5" customHeight="1">
      <c r="A150" s="70"/>
      <c r="B150" s="70"/>
      <c r="C150" s="70"/>
      <c r="D150" s="70"/>
      <c r="E150" s="70"/>
      <c r="F150" s="70"/>
      <c r="G150" s="70"/>
      <c r="H150" s="70"/>
      <c r="I150" s="71"/>
      <c r="J150" s="71"/>
      <c r="K150" s="70"/>
      <c r="L150" s="70" t="b">
        <v>0</v>
      </c>
      <c r="M150" s="70"/>
      <c r="N150" s="70"/>
    </row>
    <row r="151" ht="19.5" customHeight="1">
      <c r="A151" s="75"/>
      <c r="B151" s="75"/>
      <c r="C151" s="75"/>
      <c r="D151" s="75"/>
      <c r="E151" s="75"/>
      <c r="F151" s="75"/>
      <c r="G151" s="75"/>
      <c r="H151" s="75"/>
      <c r="I151" s="76"/>
      <c r="J151" s="76"/>
      <c r="K151" s="75"/>
      <c r="L151" s="75" t="b">
        <v>0</v>
      </c>
      <c r="M151" s="75"/>
      <c r="N151" s="75"/>
    </row>
    <row r="152" ht="19.5" customHeight="1">
      <c r="A152" s="70"/>
      <c r="B152" s="70"/>
      <c r="C152" s="70"/>
      <c r="D152" s="70"/>
      <c r="E152" s="70"/>
      <c r="F152" s="70"/>
      <c r="G152" s="70"/>
      <c r="H152" s="70"/>
      <c r="I152" s="71"/>
      <c r="J152" s="71"/>
      <c r="K152" s="70"/>
      <c r="L152" s="70" t="b">
        <v>0</v>
      </c>
      <c r="M152" s="70"/>
      <c r="N152" s="70"/>
    </row>
    <row r="153" ht="19.5" customHeight="1">
      <c r="A153" s="75"/>
      <c r="B153" s="75"/>
      <c r="C153" s="75"/>
      <c r="D153" s="75"/>
      <c r="E153" s="75"/>
      <c r="F153" s="75"/>
      <c r="G153" s="75"/>
      <c r="H153" s="75"/>
      <c r="I153" s="76"/>
      <c r="J153" s="76"/>
      <c r="K153" s="75"/>
      <c r="L153" s="75" t="b">
        <v>0</v>
      </c>
      <c r="M153" s="75"/>
      <c r="N153" s="75"/>
    </row>
    <row r="154" ht="19.5" customHeight="1">
      <c r="A154" s="70"/>
      <c r="B154" s="70"/>
      <c r="C154" s="70"/>
      <c r="D154" s="70"/>
      <c r="E154" s="70"/>
      <c r="F154" s="70"/>
      <c r="G154" s="70"/>
      <c r="H154" s="70"/>
      <c r="I154" s="71"/>
      <c r="J154" s="71"/>
      <c r="K154" s="70"/>
      <c r="L154" s="70" t="b">
        <v>0</v>
      </c>
      <c r="M154" s="70"/>
      <c r="N154" s="70"/>
    </row>
    <row r="155" ht="19.5" customHeight="1">
      <c r="A155" s="75"/>
      <c r="B155" s="75"/>
      <c r="C155" s="75"/>
      <c r="D155" s="75"/>
      <c r="E155" s="75"/>
      <c r="F155" s="75"/>
      <c r="G155" s="75"/>
      <c r="H155" s="75"/>
      <c r="I155" s="76"/>
      <c r="J155" s="76"/>
      <c r="K155" s="75"/>
      <c r="L155" s="75" t="b">
        <v>0</v>
      </c>
      <c r="M155" s="75"/>
      <c r="N155" s="75"/>
    </row>
    <row r="156" ht="19.5" customHeight="1">
      <c r="A156" s="70"/>
      <c r="B156" s="70"/>
      <c r="C156" s="70"/>
      <c r="D156" s="70"/>
      <c r="E156" s="70"/>
      <c r="F156" s="70"/>
      <c r="G156" s="70"/>
      <c r="H156" s="70"/>
      <c r="I156" s="71"/>
      <c r="J156" s="71"/>
      <c r="K156" s="70"/>
      <c r="L156" s="70" t="b">
        <v>0</v>
      </c>
      <c r="M156" s="70"/>
      <c r="N156" s="70"/>
    </row>
    <row r="157" ht="19.5" customHeight="1">
      <c r="A157" s="75"/>
      <c r="B157" s="75"/>
      <c r="C157" s="75"/>
      <c r="D157" s="75"/>
      <c r="E157" s="75"/>
      <c r="F157" s="75"/>
      <c r="G157" s="75"/>
      <c r="H157" s="75"/>
      <c r="I157" s="76"/>
      <c r="J157" s="76"/>
      <c r="K157" s="75"/>
      <c r="L157" s="75" t="b">
        <v>0</v>
      </c>
      <c r="M157" s="75"/>
      <c r="N157" s="75"/>
    </row>
    <row r="158" ht="19.5" customHeight="1">
      <c r="A158" s="70"/>
      <c r="B158" s="70"/>
      <c r="C158" s="70"/>
      <c r="D158" s="70"/>
      <c r="E158" s="70"/>
      <c r="F158" s="70"/>
      <c r="G158" s="70"/>
      <c r="H158" s="70"/>
      <c r="I158" s="71"/>
      <c r="J158" s="71"/>
      <c r="K158" s="70"/>
      <c r="L158" s="70" t="b">
        <v>0</v>
      </c>
      <c r="M158" s="70"/>
      <c r="N158" s="70"/>
    </row>
    <row r="159" ht="19.5" customHeight="1">
      <c r="A159" s="75"/>
      <c r="B159" s="75"/>
      <c r="C159" s="75"/>
      <c r="D159" s="75"/>
      <c r="E159" s="75"/>
      <c r="F159" s="75"/>
      <c r="G159" s="75"/>
      <c r="H159" s="75"/>
      <c r="I159" s="76"/>
      <c r="J159" s="76"/>
      <c r="K159" s="75"/>
      <c r="L159" s="75" t="b">
        <v>0</v>
      </c>
      <c r="M159" s="75"/>
      <c r="N159" s="75"/>
    </row>
    <row r="160" ht="19.5" customHeight="1">
      <c r="A160" s="70"/>
      <c r="B160" s="70"/>
      <c r="C160" s="70"/>
      <c r="D160" s="70"/>
      <c r="E160" s="70"/>
      <c r="F160" s="70"/>
      <c r="G160" s="70"/>
      <c r="H160" s="70"/>
      <c r="I160" s="71"/>
      <c r="J160" s="71"/>
      <c r="K160" s="70"/>
      <c r="L160" s="70" t="b">
        <v>0</v>
      </c>
      <c r="M160" s="70"/>
      <c r="N160" s="70"/>
    </row>
    <row r="161" ht="19.5" customHeight="1">
      <c r="A161" s="75"/>
      <c r="B161" s="75"/>
      <c r="C161" s="75"/>
      <c r="D161" s="75"/>
      <c r="E161" s="75"/>
      <c r="F161" s="75"/>
      <c r="G161" s="75"/>
      <c r="H161" s="75"/>
      <c r="I161" s="76"/>
      <c r="J161" s="76"/>
      <c r="K161" s="75"/>
      <c r="L161" s="75" t="b">
        <v>0</v>
      </c>
      <c r="M161" s="75"/>
      <c r="N161" s="75"/>
    </row>
    <row r="162" ht="19.5" customHeight="1">
      <c r="A162" s="70"/>
      <c r="B162" s="70"/>
      <c r="C162" s="70"/>
      <c r="D162" s="70"/>
      <c r="E162" s="70"/>
      <c r="F162" s="70"/>
      <c r="G162" s="70"/>
      <c r="H162" s="70"/>
      <c r="I162" s="71"/>
      <c r="J162" s="71"/>
      <c r="K162" s="70"/>
      <c r="L162" s="70" t="b">
        <v>0</v>
      </c>
      <c r="M162" s="70"/>
      <c r="N162" s="70"/>
    </row>
    <row r="163" ht="19.5" customHeight="1">
      <c r="A163" s="75"/>
      <c r="B163" s="75"/>
      <c r="C163" s="75"/>
      <c r="D163" s="75"/>
      <c r="E163" s="75"/>
      <c r="F163" s="75"/>
      <c r="G163" s="75"/>
      <c r="H163" s="75"/>
      <c r="I163" s="76"/>
      <c r="J163" s="76"/>
      <c r="K163" s="75"/>
      <c r="L163" s="75" t="b">
        <v>0</v>
      </c>
      <c r="M163" s="75"/>
      <c r="N163" s="75"/>
    </row>
    <row r="164" ht="19.5" customHeight="1">
      <c r="A164" s="70"/>
      <c r="B164" s="70"/>
      <c r="C164" s="70"/>
      <c r="D164" s="70"/>
      <c r="E164" s="70"/>
      <c r="F164" s="70"/>
      <c r="G164" s="70"/>
      <c r="H164" s="70"/>
      <c r="I164" s="71"/>
      <c r="J164" s="71"/>
      <c r="K164" s="70"/>
      <c r="L164" s="70" t="b">
        <v>0</v>
      </c>
      <c r="M164" s="70"/>
      <c r="N164" s="70"/>
    </row>
    <row r="165" ht="19.5" customHeight="1">
      <c r="A165" s="75"/>
      <c r="B165" s="75"/>
      <c r="C165" s="75"/>
      <c r="D165" s="75"/>
      <c r="E165" s="75"/>
      <c r="F165" s="75"/>
      <c r="G165" s="75"/>
      <c r="H165" s="75"/>
      <c r="I165" s="76"/>
      <c r="J165" s="76"/>
      <c r="K165" s="75"/>
      <c r="L165" s="75" t="b">
        <v>0</v>
      </c>
      <c r="M165" s="75"/>
      <c r="N165" s="75"/>
    </row>
    <row r="166" ht="19.5" customHeight="1">
      <c r="A166" s="70"/>
      <c r="B166" s="70"/>
      <c r="C166" s="70"/>
      <c r="D166" s="70"/>
      <c r="E166" s="70"/>
      <c r="F166" s="70"/>
      <c r="G166" s="70"/>
      <c r="H166" s="70"/>
      <c r="I166" s="71"/>
      <c r="J166" s="71"/>
      <c r="K166" s="70"/>
      <c r="L166" s="70" t="b">
        <v>0</v>
      </c>
      <c r="M166" s="70"/>
      <c r="N166" s="70"/>
    </row>
    <row r="167" ht="19.5" customHeight="1">
      <c r="A167" s="75"/>
      <c r="B167" s="75"/>
      <c r="C167" s="75"/>
      <c r="D167" s="75"/>
      <c r="E167" s="75"/>
      <c r="F167" s="75"/>
      <c r="G167" s="75"/>
      <c r="H167" s="75"/>
      <c r="I167" s="76"/>
      <c r="J167" s="76"/>
      <c r="K167" s="75"/>
      <c r="L167" s="75" t="b">
        <v>0</v>
      </c>
      <c r="M167" s="75"/>
      <c r="N167" s="75"/>
    </row>
    <row r="168" ht="19.5" customHeight="1">
      <c r="A168" s="70"/>
      <c r="B168" s="70"/>
      <c r="C168" s="70"/>
      <c r="D168" s="70"/>
      <c r="E168" s="70"/>
      <c r="F168" s="70"/>
      <c r="G168" s="70"/>
      <c r="H168" s="70"/>
      <c r="I168" s="71"/>
      <c r="J168" s="71"/>
      <c r="K168" s="70"/>
      <c r="L168" s="70" t="b">
        <v>0</v>
      </c>
      <c r="M168" s="70"/>
      <c r="N168" s="70"/>
    </row>
    <row r="169" ht="19.5" customHeight="1">
      <c r="A169" s="75"/>
      <c r="B169" s="75"/>
      <c r="C169" s="75"/>
      <c r="D169" s="75"/>
      <c r="E169" s="75"/>
      <c r="F169" s="75"/>
      <c r="G169" s="75"/>
      <c r="H169" s="75"/>
      <c r="I169" s="76"/>
      <c r="J169" s="76"/>
      <c r="K169" s="75"/>
      <c r="L169" s="75" t="b">
        <v>0</v>
      </c>
      <c r="M169" s="75"/>
      <c r="N169" s="75"/>
    </row>
    <row r="170" ht="19.5" customHeight="1">
      <c r="A170" s="70"/>
      <c r="B170" s="70"/>
      <c r="C170" s="70"/>
      <c r="D170" s="70"/>
      <c r="E170" s="70"/>
      <c r="F170" s="70"/>
      <c r="G170" s="70"/>
      <c r="H170" s="70"/>
      <c r="I170" s="71"/>
      <c r="J170" s="71"/>
      <c r="K170" s="70"/>
      <c r="L170" s="70" t="b">
        <v>0</v>
      </c>
      <c r="M170" s="70"/>
      <c r="N170" s="70"/>
    </row>
    <row r="171" ht="19.5" customHeight="1">
      <c r="A171" s="75"/>
      <c r="B171" s="75"/>
      <c r="C171" s="75"/>
      <c r="D171" s="75"/>
      <c r="E171" s="75"/>
      <c r="F171" s="75"/>
      <c r="G171" s="75"/>
      <c r="H171" s="75"/>
      <c r="I171" s="76"/>
      <c r="J171" s="76"/>
      <c r="K171" s="75"/>
      <c r="L171" s="75" t="b">
        <v>0</v>
      </c>
      <c r="M171" s="75"/>
      <c r="N171" s="75"/>
    </row>
    <row r="172" ht="19.5" customHeight="1">
      <c r="A172" s="70"/>
      <c r="B172" s="70"/>
      <c r="C172" s="70"/>
      <c r="D172" s="70"/>
      <c r="E172" s="70"/>
      <c r="F172" s="70"/>
      <c r="G172" s="70"/>
      <c r="H172" s="70"/>
      <c r="I172" s="71"/>
      <c r="J172" s="71"/>
      <c r="K172" s="70"/>
      <c r="L172" s="70" t="b">
        <v>0</v>
      </c>
      <c r="M172" s="70"/>
      <c r="N172" s="70"/>
    </row>
    <row r="173" ht="19.5" customHeight="1">
      <c r="A173" s="75"/>
      <c r="B173" s="75"/>
      <c r="C173" s="75"/>
      <c r="D173" s="75"/>
      <c r="E173" s="75"/>
      <c r="F173" s="75"/>
      <c r="G173" s="75"/>
      <c r="H173" s="75"/>
      <c r="I173" s="76"/>
      <c r="J173" s="76"/>
      <c r="K173" s="75"/>
      <c r="L173" s="75" t="b">
        <v>0</v>
      </c>
      <c r="M173" s="75"/>
      <c r="N173" s="75"/>
    </row>
    <row r="174" ht="19.5" customHeight="1">
      <c r="A174" s="70"/>
      <c r="B174" s="70"/>
      <c r="C174" s="70"/>
      <c r="D174" s="70"/>
      <c r="E174" s="70"/>
      <c r="F174" s="70"/>
      <c r="G174" s="70"/>
      <c r="H174" s="70"/>
      <c r="I174" s="71"/>
      <c r="J174" s="71"/>
      <c r="K174" s="70"/>
      <c r="L174" s="70" t="b">
        <v>0</v>
      </c>
      <c r="M174" s="70"/>
      <c r="N174" s="70"/>
    </row>
    <row r="175" ht="19.5" customHeight="1">
      <c r="A175" s="75"/>
      <c r="B175" s="75"/>
      <c r="C175" s="75"/>
      <c r="D175" s="75"/>
      <c r="E175" s="75"/>
      <c r="F175" s="75"/>
      <c r="G175" s="75"/>
      <c r="H175" s="75"/>
      <c r="I175" s="76"/>
      <c r="J175" s="76"/>
      <c r="K175" s="75"/>
      <c r="L175" s="75" t="b">
        <v>0</v>
      </c>
      <c r="M175" s="75"/>
      <c r="N175" s="75"/>
    </row>
    <row r="176" ht="19.5" customHeight="1">
      <c r="A176" s="70"/>
      <c r="B176" s="70"/>
      <c r="C176" s="70"/>
      <c r="D176" s="70"/>
      <c r="E176" s="70"/>
      <c r="F176" s="70"/>
      <c r="G176" s="70"/>
      <c r="H176" s="70"/>
      <c r="I176" s="71"/>
      <c r="J176" s="71"/>
      <c r="K176" s="70"/>
      <c r="L176" s="70" t="b">
        <v>0</v>
      </c>
      <c r="M176" s="70"/>
      <c r="N176" s="70"/>
    </row>
    <row r="177" ht="19.5" customHeight="1">
      <c r="A177" s="75"/>
      <c r="B177" s="75"/>
      <c r="C177" s="75"/>
      <c r="D177" s="75"/>
      <c r="E177" s="75"/>
      <c r="F177" s="75"/>
      <c r="G177" s="75"/>
      <c r="H177" s="75"/>
      <c r="I177" s="76"/>
      <c r="J177" s="76"/>
      <c r="K177" s="75"/>
      <c r="L177" s="75" t="b">
        <v>0</v>
      </c>
      <c r="M177" s="75"/>
      <c r="N177" s="75"/>
    </row>
    <row r="178" ht="19.5" customHeight="1">
      <c r="A178" s="70"/>
      <c r="B178" s="70"/>
      <c r="C178" s="70"/>
      <c r="D178" s="70"/>
      <c r="E178" s="70"/>
      <c r="F178" s="70"/>
      <c r="G178" s="70"/>
      <c r="H178" s="70"/>
      <c r="I178" s="71"/>
      <c r="J178" s="71"/>
      <c r="K178" s="70"/>
      <c r="L178" s="70" t="b">
        <v>0</v>
      </c>
      <c r="M178" s="70"/>
      <c r="N178" s="70"/>
    </row>
    <row r="179" ht="19.5" customHeight="1">
      <c r="A179" s="75"/>
      <c r="B179" s="75"/>
      <c r="C179" s="75"/>
      <c r="D179" s="75"/>
      <c r="E179" s="75"/>
      <c r="F179" s="75"/>
      <c r="G179" s="75"/>
      <c r="H179" s="75"/>
      <c r="I179" s="76"/>
      <c r="J179" s="76"/>
      <c r="K179" s="75"/>
      <c r="L179" s="75" t="b">
        <v>0</v>
      </c>
      <c r="M179" s="75"/>
      <c r="N179" s="75"/>
    </row>
    <row r="180" ht="19.5" customHeight="1">
      <c r="A180" s="70"/>
      <c r="B180" s="70"/>
      <c r="C180" s="70"/>
      <c r="D180" s="70"/>
      <c r="E180" s="70"/>
      <c r="F180" s="70"/>
      <c r="G180" s="70"/>
      <c r="H180" s="70"/>
      <c r="I180" s="71"/>
      <c r="J180" s="71"/>
      <c r="K180" s="70"/>
      <c r="L180" s="70" t="b">
        <v>0</v>
      </c>
      <c r="M180" s="70"/>
      <c r="N180" s="70"/>
    </row>
    <row r="181" ht="19.5" customHeight="1">
      <c r="A181" s="75"/>
      <c r="B181" s="75"/>
      <c r="C181" s="75"/>
      <c r="D181" s="75"/>
      <c r="E181" s="75"/>
      <c r="F181" s="75"/>
      <c r="G181" s="75"/>
      <c r="H181" s="75"/>
      <c r="I181" s="76"/>
      <c r="J181" s="76"/>
      <c r="K181" s="75"/>
      <c r="L181" s="75" t="b">
        <v>0</v>
      </c>
      <c r="M181" s="75"/>
      <c r="N181" s="75"/>
    </row>
    <row r="182" ht="19.5" customHeight="1">
      <c r="A182" s="70"/>
      <c r="B182" s="70"/>
      <c r="C182" s="70"/>
      <c r="D182" s="70"/>
      <c r="E182" s="70"/>
      <c r="F182" s="70"/>
      <c r="G182" s="70"/>
      <c r="H182" s="70"/>
      <c r="I182" s="71"/>
      <c r="J182" s="71"/>
      <c r="K182" s="70"/>
      <c r="L182" s="70" t="b">
        <v>0</v>
      </c>
      <c r="M182" s="70"/>
      <c r="N182" s="70"/>
    </row>
    <row r="183" ht="19.5" customHeight="1">
      <c r="A183" s="75"/>
      <c r="B183" s="75"/>
      <c r="C183" s="75"/>
      <c r="D183" s="75"/>
      <c r="E183" s="75"/>
      <c r="F183" s="75"/>
      <c r="G183" s="75"/>
      <c r="H183" s="75"/>
      <c r="I183" s="76"/>
      <c r="J183" s="76"/>
      <c r="K183" s="75"/>
      <c r="L183" s="75" t="b">
        <v>0</v>
      </c>
      <c r="M183" s="75"/>
      <c r="N183" s="75"/>
    </row>
    <row r="184" ht="19.5" customHeight="1">
      <c r="A184" s="70"/>
      <c r="B184" s="70"/>
      <c r="C184" s="70"/>
      <c r="D184" s="70"/>
      <c r="E184" s="70"/>
      <c r="F184" s="70"/>
      <c r="G184" s="70"/>
      <c r="H184" s="70"/>
      <c r="I184" s="71"/>
      <c r="J184" s="71"/>
      <c r="K184" s="70"/>
      <c r="L184" s="70" t="b">
        <v>0</v>
      </c>
      <c r="M184" s="70"/>
      <c r="N184" s="70"/>
    </row>
    <row r="185" ht="19.5" customHeight="1">
      <c r="A185" s="75"/>
      <c r="B185" s="75"/>
      <c r="C185" s="75"/>
      <c r="D185" s="75"/>
      <c r="E185" s="75"/>
      <c r="F185" s="75"/>
      <c r="G185" s="75"/>
      <c r="H185" s="75"/>
      <c r="I185" s="76"/>
      <c r="J185" s="76"/>
      <c r="K185" s="75"/>
      <c r="L185" s="75" t="b">
        <v>0</v>
      </c>
      <c r="M185" s="75"/>
      <c r="N185" s="75"/>
    </row>
    <row r="186" ht="19.5" customHeight="1">
      <c r="A186" s="70"/>
      <c r="B186" s="70"/>
      <c r="C186" s="70"/>
      <c r="D186" s="70"/>
      <c r="E186" s="70"/>
      <c r="F186" s="70"/>
      <c r="G186" s="70"/>
      <c r="H186" s="70"/>
      <c r="I186" s="71"/>
      <c r="J186" s="71"/>
      <c r="K186" s="70"/>
      <c r="L186" s="70" t="b">
        <v>0</v>
      </c>
      <c r="M186" s="70"/>
      <c r="N186" s="70"/>
    </row>
    <row r="187" ht="19.5" customHeight="1">
      <c r="A187" s="75"/>
      <c r="B187" s="75"/>
      <c r="C187" s="75"/>
      <c r="D187" s="75"/>
      <c r="E187" s="75"/>
      <c r="F187" s="75"/>
      <c r="G187" s="75"/>
      <c r="H187" s="75"/>
      <c r="I187" s="76"/>
      <c r="J187" s="76"/>
      <c r="K187" s="75"/>
      <c r="L187" s="75" t="b">
        <v>0</v>
      </c>
      <c r="M187" s="75"/>
      <c r="N187" s="75"/>
    </row>
    <row r="188" ht="19.5" customHeight="1">
      <c r="A188" s="70"/>
      <c r="B188" s="70"/>
      <c r="C188" s="70"/>
      <c r="D188" s="70"/>
      <c r="E188" s="70"/>
      <c r="F188" s="70"/>
      <c r="G188" s="70"/>
      <c r="H188" s="70"/>
      <c r="I188" s="71"/>
      <c r="J188" s="71"/>
      <c r="K188" s="70"/>
      <c r="L188" s="70" t="b">
        <v>0</v>
      </c>
      <c r="M188" s="70"/>
      <c r="N188" s="70"/>
    </row>
    <row r="189" ht="19.5" customHeight="1">
      <c r="A189" s="75"/>
      <c r="B189" s="75"/>
      <c r="C189" s="75"/>
      <c r="D189" s="75"/>
      <c r="E189" s="75"/>
      <c r="F189" s="75"/>
      <c r="G189" s="75"/>
      <c r="H189" s="75"/>
      <c r="I189" s="76"/>
      <c r="J189" s="76"/>
      <c r="K189" s="75"/>
      <c r="L189" s="75" t="b">
        <v>0</v>
      </c>
      <c r="M189" s="75"/>
      <c r="N189" s="75"/>
    </row>
    <row r="190" ht="19.5" customHeight="1">
      <c r="A190" s="70"/>
      <c r="B190" s="70"/>
      <c r="C190" s="70"/>
      <c r="D190" s="70"/>
      <c r="E190" s="70"/>
      <c r="F190" s="70"/>
      <c r="G190" s="70"/>
      <c r="H190" s="70"/>
      <c r="I190" s="71"/>
      <c r="J190" s="71"/>
      <c r="K190" s="70"/>
      <c r="L190" s="70" t="b">
        <v>0</v>
      </c>
      <c r="M190" s="70"/>
      <c r="N190" s="70"/>
    </row>
    <row r="191" ht="19.5" customHeight="1">
      <c r="A191" s="75"/>
      <c r="B191" s="75"/>
      <c r="C191" s="75"/>
      <c r="D191" s="75"/>
      <c r="E191" s="75"/>
      <c r="F191" s="75"/>
      <c r="G191" s="75"/>
      <c r="H191" s="75"/>
      <c r="I191" s="76"/>
      <c r="J191" s="76"/>
      <c r="K191" s="75"/>
      <c r="L191" s="75" t="b">
        <v>0</v>
      </c>
      <c r="M191" s="75"/>
      <c r="N191" s="75"/>
    </row>
    <row r="192" ht="19.5" customHeight="1">
      <c r="A192" s="70"/>
      <c r="B192" s="70"/>
      <c r="C192" s="70"/>
      <c r="D192" s="70"/>
      <c r="E192" s="70"/>
      <c r="F192" s="70"/>
      <c r="G192" s="70"/>
      <c r="H192" s="70"/>
      <c r="I192" s="71"/>
      <c r="J192" s="71"/>
      <c r="K192" s="70"/>
      <c r="L192" s="70" t="b">
        <v>0</v>
      </c>
      <c r="M192" s="70"/>
      <c r="N192" s="70"/>
    </row>
    <row r="193" ht="19.5" customHeight="1">
      <c r="A193" s="75"/>
      <c r="B193" s="75"/>
      <c r="C193" s="75"/>
      <c r="D193" s="75"/>
      <c r="E193" s="75"/>
      <c r="F193" s="75"/>
      <c r="G193" s="75"/>
      <c r="H193" s="75"/>
      <c r="I193" s="76"/>
      <c r="J193" s="76"/>
      <c r="K193" s="75"/>
      <c r="L193" s="75" t="b">
        <v>0</v>
      </c>
      <c r="M193" s="75"/>
      <c r="N193" s="75"/>
    </row>
    <row r="194" ht="19.5" customHeight="1">
      <c r="A194" s="70"/>
      <c r="B194" s="70"/>
      <c r="C194" s="70"/>
      <c r="D194" s="70"/>
      <c r="E194" s="70"/>
      <c r="F194" s="70"/>
      <c r="G194" s="70"/>
      <c r="H194" s="70"/>
      <c r="I194" s="71"/>
      <c r="J194" s="71"/>
      <c r="K194" s="70"/>
      <c r="L194" s="70" t="b">
        <v>0</v>
      </c>
      <c r="M194" s="70"/>
      <c r="N194" s="70"/>
    </row>
    <row r="195" ht="19.5" customHeight="1">
      <c r="A195" s="75"/>
      <c r="B195" s="75"/>
      <c r="C195" s="75"/>
      <c r="D195" s="75"/>
      <c r="E195" s="75"/>
      <c r="F195" s="75"/>
      <c r="G195" s="75"/>
      <c r="H195" s="75"/>
      <c r="I195" s="76"/>
      <c r="J195" s="76"/>
      <c r="K195" s="75"/>
      <c r="L195" s="75" t="b">
        <v>0</v>
      </c>
      <c r="M195" s="75"/>
      <c r="N195" s="75"/>
    </row>
    <row r="196" ht="19.5" customHeight="1">
      <c r="A196" s="70"/>
      <c r="B196" s="70"/>
      <c r="C196" s="70"/>
      <c r="D196" s="70"/>
      <c r="E196" s="70"/>
      <c r="F196" s="70"/>
      <c r="G196" s="70"/>
      <c r="H196" s="70"/>
      <c r="I196" s="71"/>
      <c r="J196" s="71"/>
      <c r="K196" s="70"/>
      <c r="L196" s="70" t="b">
        <v>0</v>
      </c>
      <c r="M196" s="70"/>
      <c r="N196" s="70"/>
    </row>
    <row r="197" ht="19.5" customHeight="1">
      <c r="A197" s="75"/>
      <c r="B197" s="75"/>
      <c r="C197" s="75"/>
      <c r="D197" s="75"/>
      <c r="E197" s="75"/>
      <c r="F197" s="75"/>
      <c r="G197" s="75"/>
      <c r="H197" s="75"/>
      <c r="I197" s="76"/>
      <c r="J197" s="76"/>
      <c r="K197" s="75"/>
      <c r="L197" s="75" t="b">
        <v>0</v>
      </c>
      <c r="M197" s="75"/>
      <c r="N197" s="75"/>
    </row>
    <row r="198" ht="19.5" customHeight="1">
      <c r="A198" s="70"/>
      <c r="B198" s="70"/>
      <c r="C198" s="70"/>
      <c r="D198" s="70"/>
      <c r="E198" s="70"/>
      <c r="F198" s="70"/>
      <c r="G198" s="70"/>
      <c r="H198" s="70"/>
      <c r="I198" s="71"/>
      <c r="J198" s="71"/>
      <c r="K198" s="70"/>
      <c r="L198" s="70" t="b">
        <v>0</v>
      </c>
      <c r="M198" s="70"/>
      <c r="N198" s="70"/>
    </row>
    <row r="199" ht="19.5" customHeight="1">
      <c r="A199" s="75"/>
      <c r="B199" s="75"/>
      <c r="C199" s="75"/>
      <c r="D199" s="75"/>
      <c r="E199" s="75"/>
      <c r="F199" s="75"/>
      <c r="G199" s="75"/>
      <c r="H199" s="75"/>
      <c r="I199" s="76"/>
      <c r="J199" s="76"/>
      <c r="K199" s="75"/>
      <c r="L199" s="75" t="b">
        <v>0</v>
      </c>
      <c r="M199" s="75"/>
      <c r="N199" s="75"/>
    </row>
    <row r="200" ht="19.5" customHeight="1">
      <c r="A200" s="70"/>
      <c r="B200" s="70"/>
      <c r="C200" s="70"/>
      <c r="D200" s="70"/>
      <c r="E200" s="70"/>
      <c r="F200" s="70"/>
      <c r="G200" s="70"/>
      <c r="H200" s="70"/>
      <c r="I200" s="71"/>
      <c r="J200" s="71"/>
      <c r="K200" s="70"/>
      <c r="L200" s="70" t="b">
        <v>0</v>
      </c>
      <c r="M200" s="70"/>
      <c r="N200" s="70"/>
    </row>
    <row r="201" ht="19.5" customHeight="1">
      <c r="A201" s="75"/>
      <c r="B201" s="75"/>
      <c r="C201" s="75"/>
      <c r="D201" s="75"/>
      <c r="E201" s="75"/>
      <c r="F201" s="75"/>
      <c r="G201" s="75"/>
      <c r="H201" s="75"/>
      <c r="I201" s="76"/>
      <c r="J201" s="76"/>
      <c r="K201" s="75"/>
      <c r="L201" s="75" t="b">
        <v>0</v>
      </c>
      <c r="M201" s="75"/>
      <c r="N201" s="75"/>
    </row>
    <row r="202" ht="19.5" customHeight="1">
      <c r="A202" s="70"/>
      <c r="B202" s="70"/>
      <c r="C202" s="70"/>
      <c r="D202" s="70"/>
      <c r="E202" s="70"/>
      <c r="F202" s="70"/>
      <c r="G202" s="70"/>
      <c r="H202" s="70"/>
      <c r="I202" s="71"/>
      <c r="J202" s="71"/>
      <c r="K202" s="70"/>
      <c r="L202" s="70" t="b">
        <v>0</v>
      </c>
      <c r="M202" s="70"/>
      <c r="N202" s="70"/>
    </row>
    <row r="203" ht="19.5" customHeight="1">
      <c r="A203" s="75"/>
      <c r="B203" s="75"/>
      <c r="C203" s="75"/>
      <c r="D203" s="75"/>
      <c r="E203" s="75"/>
      <c r="F203" s="75"/>
      <c r="G203" s="75"/>
      <c r="H203" s="75"/>
      <c r="I203" s="76"/>
      <c r="J203" s="76"/>
      <c r="K203" s="75"/>
      <c r="L203" s="75" t="b">
        <v>0</v>
      </c>
      <c r="M203" s="75"/>
      <c r="N203" s="75"/>
    </row>
    <row r="204" ht="19.5" customHeight="1">
      <c r="A204" s="70"/>
      <c r="B204" s="70"/>
      <c r="C204" s="70"/>
      <c r="D204" s="70"/>
      <c r="E204" s="70"/>
      <c r="F204" s="70"/>
      <c r="G204" s="70"/>
      <c r="H204" s="70"/>
      <c r="I204" s="71"/>
      <c r="J204" s="71"/>
      <c r="K204" s="70"/>
      <c r="L204" s="70" t="b">
        <v>0</v>
      </c>
      <c r="M204" s="70"/>
      <c r="N204" s="70"/>
    </row>
    <row r="205" ht="19.5" customHeight="1">
      <c r="A205" s="75"/>
      <c r="B205" s="75"/>
      <c r="C205" s="75"/>
      <c r="D205" s="75"/>
      <c r="E205" s="75"/>
      <c r="F205" s="75"/>
      <c r="G205" s="75"/>
      <c r="H205" s="75"/>
      <c r="I205" s="76"/>
      <c r="J205" s="76"/>
      <c r="K205" s="75"/>
      <c r="L205" s="75" t="b">
        <v>0</v>
      </c>
      <c r="M205" s="75"/>
      <c r="N205" s="75"/>
    </row>
    <row r="206" ht="19.5" customHeight="1">
      <c r="A206" s="70"/>
      <c r="B206" s="70"/>
      <c r="C206" s="70"/>
      <c r="D206" s="70"/>
      <c r="E206" s="70"/>
      <c r="F206" s="70"/>
      <c r="G206" s="70"/>
      <c r="H206" s="70"/>
      <c r="I206" s="71"/>
      <c r="J206" s="71"/>
      <c r="K206" s="70"/>
      <c r="L206" s="70" t="b">
        <v>0</v>
      </c>
      <c r="M206" s="70"/>
      <c r="N206" s="70"/>
    </row>
    <row r="207" ht="19.5" customHeight="1">
      <c r="A207" s="75"/>
      <c r="B207" s="75"/>
      <c r="C207" s="75"/>
      <c r="D207" s="75"/>
      <c r="E207" s="75"/>
      <c r="F207" s="75"/>
      <c r="G207" s="75"/>
      <c r="H207" s="75"/>
      <c r="I207" s="76"/>
      <c r="J207" s="76"/>
      <c r="K207" s="75"/>
      <c r="L207" s="75" t="b">
        <v>0</v>
      </c>
      <c r="M207" s="75"/>
      <c r="N207" s="75"/>
    </row>
    <row r="208" ht="19.5" customHeight="1">
      <c r="A208" s="70"/>
      <c r="B208" s="70"/>
      <c r="C208" s="70"/>
      <c r="D208" s="70"/>
      <c r="E208" s="70"/>
      <c r="F208" s="70"/>
      <c r="G208" s="70"/>
      <c r="H208" s="70"/>
      <c r="I208" s="71"/>
      <c r="J208" s="71"/>
      <c r="K208" s="70"/>
      <c r="L208" s="70" t="b">
        <v>0</v>
      </c>
      <c r="M208" s="70"/>
      <c r="N208" s="70"/>
    </row>
    <row r="209" ht="19.5" customHeight="1">
      <c r="A209" s="75"/>
      <c r="B209" s="75"/>
      <c r="C209" s="75"/>
      <c r="D209" s="75"/>
      <c r="E209" s="75"/>
      <c r="F209" s="75"/>
      <c r="G209" s="75"/>
      <c r="H209" s="75"/>
      <c r="I209" s="76"/>
      <c r="J209" s="76"/>
      <c r="K209" s="75"/>
      <c r="L209" s="75" t="b">
        <v>0</v>
      </c>
      <c r="M209" s="75"/>
      <c r="N209" s="75"/>
    </row>
    <row r="210" ht="19.5" customHeight="1">
      <c r="A210" s="70"/>
      <c r="B210" s="70"/>
      <c r="C210" s="70"/>
      <c r="D210" s="70"/>
      <c r="E210" s="70"/>
      <c r="F210" s="70"/>
      <c r="G210" s="70"/>
      <c r="H210" s="70"/>
      <c r="I210" s="71"/>
      <c r="J210" s="71"/>
      <c r="K210" s="70"/>
      <c r="L210" s="70" t="b">
        <v>0</v>
      </c>
      <c r="M210" s="70"/>
      <c r="N210" s="70"/>
    </row>
    <row r="211" ht="19.5" customHeight="1">
      <c r="A211" s="75"/>
      <c r="B211" s="75"/>
      <c r="C211" s="75"/>
      <c r="D211" s="75"/>
      <c r="E211" s="75"/>
      <c r="F211" s="75"/>
      <c r="G211" s="75"/>
      <c r="H211" s="75"/>
      <c r="I211" s="76"/>
      <c r="J211" s="76"/>
      <c r="K211" s="75"/>
      <c r="L211" s="75" t="b">
        <v>0</v>
      </c>
      <c r="M211" s="75"/>
      <c r="N211" s="75"/>
    </row>
    <row r="212" ht="19.5" customHeight="1">
      <c r="A212" s="70"/>
      <c r="B212" s="70"/>
      <c r="C212" s="70"/>
      <c r="D212" s="70"/>
      <c r="E212" s="70"/>
      <c r="F212" s="70"/>
      <c r="G212" s="70"/>
      <c r="H212" s="70"/>
      <c r="I212" s="71"/>
      <c r="J212" s="71"/>
      <c r="K212" s="70"/>
      <c r="L212" s="70" t="b">
        <v>0</v>
      </c>
      <c r="M212" s="70"/>
      <c r="N212" s="70"/>
    </row>
    <row r="213" ht="19.5" customHeight="1">
      <c r="A213" s="75"/>
      <c r="B213" s="75"/>
      <c r="C213" s="75"/>
      <c r="D213" s="75"/>
      <c r="E213" s="75"/>
      <c r="F213" s="75"/>
      <c r="G213" s="75"/>
      <c r="H213" s="75"/>
      <c r="I213" s="76"/>
      <c r="J213" s="76"/>
      <c r="K213" s="75"/>
      <c r="L213" s="75" t="b">
        <v>0</v>
      </c>
      <c r="M213" s="75"/>
      <c r="N213" s="75"/>
    </row>
    <row r="214" ht="19.5" customHeight="1">
      <c r="A214" s="70"/>
      <c r="B214" s="70"/>
      <c r="C214" s="70"/>
      <c r="D214" s="70"/>
      <c r="E214" s="70"/>
      <c r="F214" s="70"/>
      <c r="G214" s="70"/>
      <c r="H214" s="70"/>
      <c r="I214" s="71"/>
      <c r="J214" s="71"/>
      <c r="K214" s="70"/>
      <c r="L214" s="70" t="b">
        <v>0</v>
      </c>
      <c r="M214" s="70"/>
      <c r="N214" s="70"/>
    </row>
    <row r="215" ht="19.5" customHeight="1">
      <c r="A215" s="75"/>
      <c r="B215" s="75"/>
      <c r="C215" s="75"/>
      <c r="D215" s="75"/>
      <c r="E215" s="75"/>
      <c r="F215" s="75"/>
      <c r="G215" s="75"/>
      <c r="H215" s="75"/>
      <c r="I215" s="76"/>
      <c r="J215" s="76"/>
      <c r="K215" s="75"/>
      <c r="L215" s="75" t="b">
        <v>0</v>
      </c>
      <c r="M215" s="75"/>
      <c r="N215" s="75"/>
    </row>
    <row r="216" ht="19.5" customHeight="1">
      <c r="A216" s="70"/>
      <c r="B216" s="70"/>
      <c r="C216" s="70"/>
      <c r="D216" s="70"/>
      <c r="E216" s="70"/>
      <c r="F216" s="70"/>
      <c r="G216" s="70"/>
      <c r="H216" s="70"/>
      <c r="I216" s="71"/>
      <c r="J216" s="71"/>
      <c r="K216" s="70"/>
      <c r="L216" s="70" t="b">
        <v>0</v>
      </c>
      <c r="M216" s="70"/>
      <c r="N216" s="70"/>
    </row>
    <row r="217" ht="19.5" customHeight="1">
      <c r="A217" s="75"/>
      <c r="B217" s="75"/>
      <c r="C217" s="75"/>
      <c r="D217" s="75"/>
      <c r="E217" s="75"/>
      <c r="F217" s="75"/>
      <c r="G217" s="75"/>
      <c r="H217" s="75"/>
      <c r="I217" s="76"/>
      <c r="J217" s="76"/>
      <c r="K217" s="75"/>
      <c r="L217" s="75" t="b">
        <v>0</v>
      </c>
      <c r="M217" s="75"/>
      <c r="N217" s="75"/>
    </row>
    <row r="218" ht="19.5" customHeight="1">
      <c r="A218" s="70"/>
      <c r="B218" s="70"/>
      <c r="C218" s="70"/>
      <c r="D218" s="70"/>
      <c r="E218" s="70"/>
      <c r="F218" s="70"/>
      <c r="G218" s="70"/>
      <c r="H218" s="70"/>
      <c r="I218" s="71"/>
      <c r="J218" s="71"/>
      <c r="K218" s="70"/>
      <c r="L218" s="70" t="b">
        <v>0</v>
      </c>
      <c r="M218" s="70"/>
      <c r="N218" s="70"/>
    </row>
    <row r="219" ht="19.5" customHeight="1">
      <c r="A219" s="75"/>
      <c r="B219" s="75"/>
      <c r="C219" s="75"/>
      <c r="D219" s="75"/>
      <c r="E219" s="75"/>
      <c r="F219" s="75"/>
      <c r="G219" s="75"/>
      <c r="H219" s="75"/>
      <c r="I219" s="76"/>
      <c r="J219" s="76"/>
      <c r="K219" s="75"/>
      <c r="L219" s="75" t="b">
        <v>0</v>
      </c>
      <c r="M219" s="75"/>
      <c r="N219" s="75"/>
    </row>
    <row r="220" ht="19.5" customHeight="1">
      <c r="A220" s="70"/>
      <c r="B220" s="70"/>
      <c r="C220" s="70"/>
      <c r="D220" s="70"/>
      <c r="E220" s="70"/>
      <c r="F220" s="70"/>
      <c r="G220" s="70"/>
      <c r="H220" s="70"/>
      <c r="I220" s="71"/>
      <c r="J220" s="71"/>
      <c r="K220" s="70"/>
      <c r="L220" s="70" t="b">
        <v>0</v>
      </c>
      <c r="M220" s="70"/>
      <c r="N220" s="70"/>
    </row>
    <row r="221" ht="19.5" customHeight="1">
      <c r="A221" s="75"/>
      <c r="B221" s="75"/>
      <c r="C221" s="75"/>
      <c r="D221" s="75"/>
      <c r="E221" s="75"/>
      <c r="F221" s="75"/>
      <c r="G221" s="75"/>
      <c r="H221" s="75"/>
      <c r="I221" s="76"/>
      <c r="J221" s="76"/>
      <c r="K221" s="75"/>
      <c r="L221" s="75" t="b">
        <v>0</v>
      </c>
      <c r="M221" s="75"/>
      <c r="N221" s="75"/>
    </row>
    <row r="222" ht="19.5" customHeight="1">
      <c r="A222" s="70"/>
      <c r="B222" s="70"/>
      <c r="C222" s="70"/>
      <c r="D222" s="70"/>
      <c r="E222" s="70"/>
      <c r="F222" s="70"/>
      <c r="G222" s="70"/>
      <c r="H222" s="70"/>
      <c r="I222" s="71"/>
      <c r="J222" s="71"/>
      <c r="K222" s="70"/>
      <c r="L222" s="70" t="b">
        <v>0</v>
      </c>
      <c r="M222" s="70"/>
      <c r="N222" s="70"/>
    </row>
    <row r="223" ht="19.5" customHeight="1">
      <c r="A223" s="75"/>
      <c r="B223" s="75"/>
      <c r="C223" s="75"/>
      <c r="D223" s="75"/>
      <c r="E223" s="75"/>
      <c r="F223" s="75"/>
      <c r="G223" s="75"/>
      <c r="H223" s="75"/>
      <c r="I223" s="76"/>
      <c r="J223" s="76"/>
      <c r="K223" s="75"/>
      <c r="L223" s="75" t="b">
        <v>0</v>
      </c>
      <c r="M223" s="75"/>
      <c r="N223" s="75"/>
    </row>
    <row r="224" ht="19.5" customHeight="1">
      <c r="A224" s="70"/>
      <c r="B224" s="70"/>
      <c r="C224" s="70"/>
      <c r="D224" s="70"/>
      <c r="E224" s="70"/>
      <c r="F224" s="70"/>
      <c r="G224" s="70"/>
      <c r="H224" s="70"/>
      <c r="I224" s="71"/>
      <c r="J224" s="71"/>
      <c r="K224" s="70"/>
      <c r="L224" s="70" t="b">
        <v>0</v>
      </c>
      <c r="M224" s="70"/>
      <c r="N224" s="70"/>
    </row>
    <row r="225" ht="19.5" customHeight="1">
      <c r="A225" s="75"/>
      <c r="B225" s="75"/>
      <c r="C225" s="75"/>
      <c r="D225" s="75"/>
      <c r="E225" s="75"/>
      <c r="F225" s="75"/>
      <c r="G225" s="75"/>
      <c r="H225" s="75"/>
      <c r="I225" s="76"/>
      <c r="J225" s="76"/>
      <c r="K225" s="75"/>
      <c r="L225" s="75" t="b">
        <v>0</v>
      </c>
      <c r="M225" s="75"/>
      <c r="N225" s="75"/>
    </row>
    <row r="226" ht="19.5" customHeight="1">
      <c r="A226" s="70"/>
      <c r="B226" s="70"/>
      <c r="C226" s="70"/>
      <c r="D226" s="70"/>
      <c r="E226" s="70"/>
      <c r="F226" s="70"/>
      <c r="G226" s="70"/>
      <c r="H226" s="70"/>
      <c r="I226" s="71"/>
      <c r="J226" s="71"/>
      <c r="K226" s="70"/>
      <c r="L226" s="70" t="b">
        <v>0</v>
      </c>
      <c r="M226" s="70"/>
      <c r="N226" s="70"/>
    </row>
    <row r="227" ht="19.5" customHeight="1">
      <c r="A227" s="75"/>
      <c r="B227" s="75"/>
      <c r="C227" s="75"/>
      <c r="D227" s="75"/>
      <c r="E227" s="75"/>
      <c r="F227" s="75"/>
      <c r="G227" s="75"/>
      <c r="H227" s="75"/>
      <c r="I227" s="76"/>
      <c r="J227" s="76"/>
      <c r="K227" s="75"/>
      <c r="L227" s="75" t="b">
        <v>0</v>
      </c>
      <c r="M227" s="75"/>
      <c r="N227" s="75"/>
    </row>
    <row r="228" ht="19.5" customHeight="1">
      <c r="A228" s="70"/>
      <c r="B228" s="70"/>
      <c r="C228" s="70"/>
      <c r="D228" s="70"/>
      <c r="E228" s="70"/>
      <c r="F228" s="70"/>
      <c r="G228" s="70"/>
      <c r="H228" s="70"/>
      <c r="I228" s="71"/>
      <c r="J228" s="71"/>
      <c r="K228" s="70"/>
      <c r="L228" s="70" t="b">
        <v>0</v>
      </c>
      <c r="M228" s="70"/>
      <c r="N228" s="70"/>
    </row>
    <row r="229" ht="19.5" customHeight="1">
      <c r="A229" s="75"/>
      <c r="B229" s="75"/>
      <c r="C229" s="75"/>
      <c r="D229" s="75"/>
      <c r="E229" s="75"/>
      <c r="F229" s="75"/>
      <c r="G229" s="75"/>
      <c r="H229" s="75"/>
      <c r="I229" s="76"/>
      <c r="J229" s="76"/>
      <c r="K229" s="75"/>
      <c r="L229" s="75" t="b">
        <v>0</v>
      </c>
      <c r="M229" s="75"/>
      <c r="N229" s="75"/>
    </row>
    <row r="230" ht="19.5" customHeight="1">
      <c r="A230" s="70"/>
      <c r="B230" s="70"/>
      <c r="C230" s="70"/>
      <c r="D230" s="70"/>
      <c r="E230" s="70"/>
      <c r="F230" s="70"/>
      <c r="G230" s="70"/>
      <c r="H230" s="70"/>
      <c r="I230" s="71"/>
      <c r="J230" s="71"/>
      <c r="K230" s="70"/>
      <c r="L230" s="70" t="b">
        <v>0</v>
      </c>
      <c r="M230" s="70"/>
      <c r="N230" s="70"/>
    </row>
    <row r="231" ht="19.5" customHeight="1">
      <c r="A231" s="75"/>
      <c r="B231" s="75"/>
      <c r="C231" s="75"/>
      <c r="D231" s="75"/>
      <c r="E231" s="75"/>
      <c r="F231" s="75"/>
      <c r="G231" s="75"/>
      <c r="H231" s="75"/>
      <c r="I231" s="76"/>
      <c r="J231" s="76"/>
      <c r="K231" s="75"/>
      <c r="L231" s="75" t="b">
        <v>0</v>
      </c>
      <c r="M231" s="75"/>
      <c r="N231" s="75"/>
    </row>
    <row r="232" ht="19.5" customHeight="1">
      <c r="A232" s="70"/>
      <c r="B232" s="70"/>
      <c r="C232" s="70"/>
      <c r="D232" s="70"/>
      <c r="E232" s="70"/>
      <c r="F232" s="70"/>
      <c r="G232" s="70"/>
      <c r="H232" s="70"/>
      <c r="I232" s="71"/>
      <c r="J232" s="71"/>
      <c r="K232" s="70"/>
      <c r="L232" s="70" t="b">
        <v>0</v>
      </c>
      <c r="M232" s="70"/>
      <c r="N232" s="70"/>
    </row>
    <row r="233" ht="19.5" customHeight="1">
      <c r="A233" s="75"/>
      <c r="B233" s="75"/>
      <c r="C233" s="75"/>
      <c r="D233" s="75"/>
      <c r="E233" s="75"/>
      <c r="F233" s="75"/>
      <c r="G233" s="75"/>
      <c r="H233" s="75"/>
      <c r="I233" s="76"/>
      <c r="J233" s="76"/>
      <c r="K233" s="75"/>
      <c r="L233" s="75" t="b">
        <v>0</v>
      </c>
      <c r="M233" s="75"/>
      <c r="N233" s="75"/>
    </row>
    <row r="234" ht="19.5" customHeight="1">
      <c r="A234" s="70"/>
      <c r="B234" s="70"/>
      <c r="C234" s="70"/>
      <c r="D234" s="70"/>
      <c r="E234" s="70"/>
      <c r="F234" s="70"/>
      <c r="G234" s="70"/>
      <c r="H234" s="70"/>
      <c r="I234" s="71"/>
      <c r="J234" s="71"/>
      <c r="K234" s="70"/>
      <c r="L234" s="70" t="b">
        <v>0</v>
      </c>
      <c r="M234" s="70"/>
      <c r="N234" s="70"/>
    </row>
    <row r="235" ht="19.5" customHeight="1">
      <c r="A235" s="75"/>
      <c r="B235" s="75"/>
      <c r="C235" s="75"/>
      <c r="D235" s="75"/>
      <c r="E235" s="75"/>
      <c r="F235" s="75"/>
      <c r="G235" s="75"/>
      <c r="H235" s="75"/>
      <c r="I235" s="76"/>
      <c r="J235" s="76"/>
      <c r="K235" s="75"/>
      <c r="L235" s="75" t="b">
        <v>0</v>
      </c>
      <c r="M235" s="75"/>
      <c r="N235" s="75"/>
    </row>
    <row r="236" ht="19.5" customHeight="1">
      <c r="A236" s="70"/>
      <c r="B236" s="70"/>
      <c r="C236" s="70"/>
      <c r="D236" s="70"/>
      <c r="E236" s="70"/>
      <c r="F236" s="70"/>
      <c r="G236" s="70"/>
      <c r="H236" s="70"/>
      <c r="I236" s="71"/>
      <c r="J236" s="71"/>
      <c r="K236" s="70"/>
      <c r="L236" s="70" t="b">
        <v>0</v>
      </c>
      <c r="M236" s="70"/>
      <c r="N236" s="70"/>
    </row>
    <row r="237" ht="19.5" customHeight="1">
      <c r="A237" s="75"/>
      <c r="B237" s="75"/>
      <c r="C237" s="75"/>
      <c r="D237" s="75"/>
      <c r="E237" s="75"/>
      <c r="F237" s="75"/>
      <c r="G237" s="75"/>
      <c r="H237" s="75"/>
      <c r="I237" s="76"/>
      <c r="J237" s="76"/>
      <c r="K237" s="75"/>
      <c r="L237" s="75" t="b">
        <v>0</v>
      </c>
      <c r="M237" s="75"/>
      <c r="N237" s="75"/>
    </row>
    <row r="238" ht="19.5" customHeight="1">
      <c r="A238" s="70"/>
      <c r="B238" s="70"/>
      <c r="C238" s="70"/>
      <c r="D238" s="70"/>
      <c r="E238" s="70"/>
      <c r="F238" s="70"/>
      <c r="G238" s="70"/>
      <c r="H238" s="70"/>
      <c r="I238" s="71"/>
      <c r="J238" s="71"/>
      <c r="K238" s="70"/>
      <c r="L238" s="70" t="b">
        <v>0</v>
      </c>
      <c r="M238" s="70"/>
      <c r="N238" s="70"/>
    </row>
    <row r="239" ht="19.5" customHeight="1">
      <c r="A239" s="75"/>
      <c r="B239" s="75"/>
      <c r="C239" s="75"/>
      <c r="D239" s="75"/>
      <c r="E239" s="75"/>
      <c r="F239" s="75"/>
      <c r="G239" s="75"/>
      <c r="H239" s="75"/>
      <c r="I239" s="76"/>
      <c r="J239" s="76"/>
      <c r="K239" s="75"/>
      <c r="L239" s="75" t="b">
        <v>0</v>
      </c>
      <c r="M239" s="75"/>
      <c r="N239" s="75"/>
    </row>
    <row r="240" ht="19.5" customHeight="1">
      <c r="A240" s="70"/>
      <c r="B240" s="70"/>
      <c r="C240" s="70"/>
      <c r="D240" s="70"/>
      <c r="E240" s="70"/>
      <c r="F240" s="70"/>
      <c r="G240" s="70"/>
      <c r="H240" s="70"/>
      <c r="I240" s="71"/>
      <c r="J240" s="71"/>
      <c r="K240" s="70"/>
      <c r="L240" s="70" t="b">
        <v>0</v>
      </c>
      <c r="M240" s="70"/>
      <c r="N240" s="70"/>
    </row>
    <row r="241" ht="19.5" customHeight="1">
      <c r="A241" s="75"/>
      <c r="B241" s="75"/>
      <c r="C241" s="75"/>
      <c r="D241" s="75"/>
      <c r="E241" s="75"/>
      <c r="F241" s="75"/>
      <c r="G241" s="75"/>
      <c r="H241" s="75"/>
      <c r="I241" s="76"/>
      <c r="J241" s="76"/>
      <c r="K241" s="75"/>
      <c r="L241" s="75" t="b">
        <v>0</v>
      </c>
      <c r="M241" s="75"/>
      <c r="N241" s="75"/>
    </row>
    <row r="242" ht="19.5" customHeight="1">
      <c r="A242" s="70"/>
      <c r="B242" s="70"/>
      <c r="C242" s="70"/>
      <c r="D242" s="70"/>
      <c r="E242" s="70"/>
      <c r="F242" s="70"/>
      <c r="G242" s="70"/>
      <c r="H242" s="70"/>
      <c r="I242" s="71"/>
      <c r="J242" s="71"/>
      <c r="K242" s="70"/>
      <c r="L242" s="70" t="b">
        <v>0</v>
      </c>
      <c r="M242" s="70"/>
      <c r="N242" s="70"/>
    </row>
    <row r="243" ht="19.5" customHeight="1">
      <c r="A243" s="75"/>
      <c r="B243" s="75"/>
      <c r="C243" s="75"/>
      <c r="D243" s="75"/>
      <c r="E243" s="75"/>
      <c r="F243" s="75"/>
      <c r="G243" s="75"/>
      <c r="H243" s="75"/>
      <c r="I243" s="76"/>
      <c r="J243" s="76"/>
      <c r="K243" s="75"/>
      <c r="L243" s="75" t="b">
        <v>0</v>
      </c>
      <c r="M243" s="75"/>
      <c r="N243" s="75"/>
    </row>
    <row r="244" ht="19.5" customHeight="1">
      <c r="A244" s="70"/>
      <c r="B244" s="70"/>
      <c r="C244" s="70"/>
      <c r="D244" s="70"/>
      <c r="E244" s="70"/>
      <c r="F244" s="70"/>
      <c r="G244" s="70"/>
      <c r="H244" s="70"/>
      <c r="I244" s="71"/>
      <c r="J244" s="71"/>
      <c r="K244" s="70"/>
      <c r="L244" s="70" t="b">
        <v>0</v>
      </c>
      <c r="M244" s="70"/>
      <c r="N244" s="70"/>
    </row>
    <row r="245" ht="19.5" customHeight="1">
      <c r="A245" s="75"/>
      <c r="B245" s="75"/>
      <c r="C245" s="75"/>
      <c r="D245" s="75"/>
      <c r="E245" s="75"/>
      <c r="F245" s="75"/>
      <c r="G245" s="75"/>
      <c r="H245" s="75"/>
      <c r="I245" s="76"/>
      <c r="J245" s="76"/>
      <c r="K245" s="75"/>
      <c r="L245" s="75" t="b">
        <v>0</v>
      </c>
      <c r="M245" s="75"/>
      <c r="N245" s="75"/>
    </row>
    <row r="246" ht="19.5" customHeight="1">
      <c r="A246" s="70"/>
      <c r="B246" s="70"/>
      <c r="C246" s="70"/>
      <c r="D246" s="70"/>
      <c r="E246" s="70"/>
      <c r="F246" s="70"/>
      <c r="G246" s="70"/>
      <c r="H246" s="70"/>
      <c r="I246" s="71"/>
      <c r="J246" s="71"/>
      <c r="K246" s="70"/>
      <c r="L246" s="70" t="b">
        <v>0</v>
      </c>
      <c r="M246" s="70"/>
      <c r="N246" s="70"/>
    </row>
    <row r="247" ht="19.5" customHeight="1">
      <c r="A247" s="75"/>
      <c r="B247" s="75"/>
      <c r="C247" s="75"/>
      <c r="D247" s="75"/>
      <c r="E247" s="75"/>
      <c r="F247" s="75"/>
      <c r="G247" s="75"/>
      <c r="H247" s="75"/>
      <c r="I247" s="76"/>
      <c r="J247" s="76"/>
      <c r="K247" s="75"/>
      <c r="L247" s="75" t="b">
        <v>0</v>
      </c>
      <c r="M247" s="75"/>
      <c r="N247" s="75"/>
    </row>
    <row r="248" ht="19.5" customHeight="1">
      <c r="A248" s="70"/>
      <c r="B248" s="70"/>
      <c r="C248" s="70"/>
      <c r="D248" s="70"/>
      <c r="E248" s="70"/>
      <c r="F248" s="70"/>
      <c r="G248" s="70"/>
      <c r="H248" s="70"/>
      <c r="I248" s="71"/>
      <c r="J248" s="71"/>
      <c r="K248" s="70"/>
      <c r="L248" s="70" t="b">
        <v>0</v>
      </c>
      <c r="M248" s="70"/>
      <c r="N248" s="70"/>
    </row>
    <row r="249" ht="19.5" customHeight="1">
      <c r="A249" s="75"/>
      <c r="B249" s="75"/>
      <c r="C249" s="75"/>
      <c r="D249" s="75"/>
      <c r="E249" s="75"/>
      <c r="F249" s="75"/>
      <c r="G249" s="75"/>
      <c r="H249" s="75"/>
      <c r="I249" s="76"/>
      <c r="J249" s="76"/>
      <c r="K249" s="75"/>
      <c r="L249" s="75" t="b">
        <v>0</v>
      </c>
      <c r="M249" s="75"/>
      <c r="N249" s="75"/>
    </row>
    <row r="250" ht="19.5" customHeight="1">
      <c r="A250" s="70"/>
      <c r="B250" s="70"/>
      <c r="C250" s="70"/>
      <c r="D250" s="70"/>
      <c r="E250" s="70"/>
      <c r="F250" s="70"/>
      <c r="G250" s="70"/>
      <c r="H250" s="70"/>
      <c r="I250" s="71"/>
      <c r="J250" s="71"/>
      <c r="K250" s="70"/>
      <c r="L250" s="70" t="b">
        <v>0</v>
      </c>
      <c r="M250" s="70"/>
      <c r="N250" s="70"/>
    </row>
  </sheetData>
  <autoFilter ref="$A$13:$N$250"/>
  <mergeCells count="23">
    <mergeCell ref="I6:J6"/>
    <mergeCell ref="K6:L6"/>
    <mergeCell ref="A1:N2"/>
    <mergeCell ref="A3:N3"/>
    <mergeCell ref="A4:N4"/>
    <mergeCell ref="C6:D6"/>
    <mergeCell ref="E6:F6"/>
    <mergeCell ref="G6:H6"/>
    <mergeCell ref="M6:N6"/>
    <mergeCell ref="E7:F8"/>
    <mergeCell ref="A9:G9"/>
    <mergeCell ref="A10:G11"/>
    <mergeCell ref="A12:G12"/>
    <mergeCell ref="H9:N9"/>
    <mergeCell ref="H10:N11"/>
    <mergeCell ref="H12:N12"/>
    <mergeCell ref="A6:B6"/>
    <mergeCell ref="A7:B8"/>
    <mergeCell ref="C7:D8"/>
    <mergeCell ref="G7:H8"/>
    <mergeCell ref="I7:J8"/>
    <mergeCell ref="K7:L8"/>
    <mergeCell ref="M7:N8"/>
  </mergeCells>
  <dataValidations>
    <dataValidation type="list" allowBlank="1" sqref="K14:K250">
      <formula1>"Owned,Library,Borrowed,Subscription,Wishlist,Other"</formula1>
    </dataValidation>
    <dataValidation type="list" allowBlank="1" sqref="D14:D250">
      <formula1>"Romance,Fantasy,Thriller,Mystery,Literary Fiction,Historical Fiction,Sci-Fi,Nonfiction,Memoir,Biography,Poetry,YA,Children's,Graphic Novel / Manga,Other"</formula1>
    </dataValidation>
    <dataValidation type="list" allowBlank="1" sqref="G14:G250">
      <formula1>"1,1.5,2,2.5,3,3.5,4,4.5,5"</formula1>
    </dataValidation>
    <dataValidation type="list" allowBlank="1" sqref="E14:E250">
      <formula1>"Print,eBook,Audiobook,Library,Other"</formula1>
    </dataValidation>
    <dataValidation type="list" allowBlank="1" showErrorMessage="1" sqref="F14:F250">
      <formula1>"TBR,Reading,Finished,DNF"</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4" width="11.63"/>
  </cols>
  <sheetData>
    <row r="1" ht="18.0" customHeight="1">
      <c r="A1" s="1" t="s">
        <v>0</v>
      </c>
    </row>
    <row r="2" ht="18.0" customHeight="1"/>
    <row r="3" ht="18.0" customHeight="1">
      <c r="A3" s="3" t="s">
        <v>2</v>
      </c>
    </row>
    <row r="4" ht="18.0" customHeight="1">
      <c r="A4" s="3" t="s">
        <v>3</v>
      </c>
    </row>
    <row r="5" ht="18.0" customHeight="1">
      <c r="A5" s="5"/>
      <c r="B5" s="5"/>
      <c r="C5" s="5"/>
      <c r="D5" s="5"/>
      <c r="E5" s="5"/>
      <c r="F5" s="5"/>
      <c r="G5" s="5"/>
      <c r="H5" s="5"/>
      <c r="I5" s="5"/>
      <c r="J5" s="5"/>
      <c r="K5" s="5"/>
      <c r="L5" s="5"/>
      <c r="M5" s="5"/>
      <c r="N5" s="5"/>
    </row>
    <row r="6" ht="18.0" customHeight="1">
      <c r="A6" s="8" t="s">
        <v>7</v>
      </c>
      <c r="B6" s="19" t="s">
        <v>22</v>
      </c>
      <c r="C6" s="20"/>
      <c r="D6" s="20"/>
      <c r="E6" s="20"/>
      <c r="F6" s="21"/>
      <c r="G6" s="8" t="s">
        <v>27</v>
      </c>
      <c r="H6" s="26">
        <f t="array" ref="H6">IFERROR(INDEX(READING!$G$14:$G$250,MATCH($B$6,READING!$A$14:$A$250,0)),"")</f>
        <v>5</v>
      </c>
      <c r="I6" s="8" t="s">
        <v>31</v>
      </c>
      <c r="J6" s="26" t="str">
        <f t="array" ref="J6">IFERROR(IF(INDEX(READING!$L$14:$L$250,MATCH($B$6,READING!$A$14:$A$250,0)),"♡ Yes",""),"")</f>
        <v>♡ Yes</v>
      </c>
      <c r="K6" s="5"/>
      <c r="L6" s="5"/>
      <c r="M6" s="5"/>
      <c r="N6" s="5"/>
    </row>
    <row r="7" ht="18.0" customHeight="1">
      <c r="A7" s="8" t="s">
        <v>34</v>
      </c>
      <c r="B7" s="34" t="str">
        <f t="array" ref="B7">IFERROR(INDEX(READING!$B$14:$B$250,MATCH($B$6,READING!$A$14:$A$250,0)),"")</f>
        <v>Ellen Hopkins</v>
      </c>
      <c r="C7" s="20"/>
      <c r="D7" s="20"/>
      <c r="E7" s="20"/>
      <c r="F7" s="21"/>
      <c r="G7" s="8" t="s">
        <v>25</v>
      </c>
      <c r="H7" s="35" t="str">
        <f t="array" ref="H7">IFERROR(INDEX(READING!$J$14:$J$250,MATCH($B$6,READING!$A$14:$A$250,0)),"")</f>
        <v/>
      </c>
      <c r="I7" s="26"/>
      <c r="J7" s="26"/>
      <c r="K7" s="5"/>
      <c r="L7" s="5"/>
      <c r="M7" s="5"/>
      <c r="N7" s="5"/>
    </row>
    <row r="8" ht="18.0" customHeight="1">
      <c r="A8" s="5"/>
      <c r="B8" s="5"/>
      <c r="C8" s="5"/>
      <c r="D8" s="5"/>
      <c r="E8" s="5"/>
      <c r="F8" s="5"/>
      <c r="G8" s="5"/>
      <c r="H8" s="5"/>
      <c r="I8" s="5"/>
      <c r="J8" s="5"/>
      <c r="K8" s="5"/>
      <c r="L8" s="5"/>
      <c r="M8" s="5"/>
      <c r="N8" s="5"/>
    </row>
    <row r="9" ht="18.0" customHeight="1">
      <c r="A9" s="36" t="s">
        <v>46</v>
      </c>
    </row>
    <row r="10" ht="25.5" customHeight="1">
      <c r="A10" s="38" t="s">
        <v>48</v>
      </c>
      <c r="B10" s="39"/>
      <c r="C10" s="39"/>
      <c r="D10" s="39"/>
      <c r="E10" s="39"/>
      <c r="F10" s="39"/>
      <c r="G10" s="39"/>
      <c r="H10" s="39"/>
      <c r="I10" s="39"/>
      <c r="J10" s="39"/>
      <c r="K10" s="39"/>
      <c r="L10" s="39"/>
      <c r="M10" s="39"/>
      <c r="N10" s="40"/>
    </row>
    <row r="11" ht="25.5" customHeight="1">
      <c r="A11" s="41"/>
      <c r="N11" s="42"/>
    </row>
    <row r="12" ht="25.5" customHeight="1">
      <c r="A12" s="43"/>
      <c r="B12" s="45"/>
      <c r="C12" s="45"/>
      <c r="D12" s="45"/>
      <c r="E12" s="45"/>
      <c r="F12" s="45"/>
      <c r="G12" s="45"/>
      <c r="H12" s="45"/>
      <c r="I12" s="45"/>
      <c r="J12" s="45"/>
      <c r="K12" s="45"/>
      <c r="L12" s="45"/>
      <c r="M12" s="45"/>
      <c r="N12" s="47"/>
    </row>
    <row r="13" ht="18.0" customHeight="1">
      <c r="A13" s="48"/>
      <c r="B13" s="48"/>
      <c r="C13" s="48"/>
      <c r="D13" s="48"/>
      <c r="E13" s="48"/>
      <c r="F13" s="48"/>
      <c r="G13" s="48"/>
      <c r="H13" s="48"/>
      <c r="I13" s="48"/>
      <c r="J13" s="48"/>
      <c r="K13" s="48"/>
      <c r="L13" s="48"/>
      <c r="M13" s="48"/>
      <c r="N13" s="48"/>
    </row>
    <row r="14" ht="18.0" customHeight="1">
      <c r="A14" s="50" t="s">
        <v>54</v>
      </c>
      <c r="B14" s="20"/>
      <c r="C14" s="20"/>
      <c r="D14" s="20"/>
      <c r="E14" s="20"/>
      <c r="F14" s="20"/>
      <c r="G14" s="20"/>
      <c r="H14" s="20"/>
      <c r="I14" s="20"/>
      <c r="J14" s="20"/>
      <c r="K14" s="20"/>
      <c r="L14" s="20"/>
      <c r="M14" s="20"/>
      <c r="N14" s="21"/>
    </row>
    <row r="15" ht="25.5" customHeight="1">
      <c r="A15" s="38" t="s">
        <v>55</v>
      </c>
      <c r="B15" s="39"/>
      <c r="C15" s="39"/>
      <c r="D15" s="39"/>
      <c r="E15" s="39"/>
      <c r="F15" s="39"/>
      <c r="G15" s="40"/>
      <c r="H15" s="38" t="s">
        <v>56</v>
      </c>
      <c r="I15" s="39"/>
      <c r="J15" s="39"/>
      <c r="K15" s="39"/>
      <c r="L15" s="39"/>
      <c r="M15" s="39"/>
      <c r="N15" s="40"/>
    </row>
    <row r="16" ht="25.5" customHeight="1">
      <c r="A16" s="41"/>
      <c r="G16" s="42"/>
      <c r="H16" s="41"/>
      <c r="N16" s="42"/>
    </row>
    <row r="17" ht="25.5" customHeight="1">
      <c r="A17" s="41"/>
      <c r="G17" s="42"/>
      <c r="H17" s="41"/>
      <c r="N17" s="42"/>
    </row>
    <row r="18" ht="25.5" customHeight="1">
      <c r="A18" s="43"/>
      <c r="B18" s="45"/>
      <c r="C18" s="45"/>
      <c r="D18" s="45"/>
      <c r="E18" s="45"/>
      <c r="F18" s="45"/>
      <c r="G18" s="47"/>
      <c r="H18" s="43"/>
      <c r="I18" s="45"/>
      <c r="J18" s="45"/>
      <c r="K18" s="45"/>
      <c r="L18" s="45"/>
      <c r="M18" s="45"/>
      <c r="N18" s="47"/>
    </row>
    <row r="19" ht="18.0" customHeight="1">
      <c r="A19" s="48"/>
      <c r="B19" s="48"/>
      <c r="C19" s="48"/>
      <c r="D19" s="48"/>
      <c r="E19" s="48"/>
      <c r="F19" s="48"/>
      <c r="G19" s="48"/>
      <c r="H19" s="48"/>
      <c r="I19" s="48"/>
      <c r="J19" s="48"/>
      <c r="K19" s="48"/>
      <c r="L19" s="48"/>
      <c r="M19" s="48"/>
      <c r="N19" s="48"/>
    </row>
    <row r="20" ht="18.0" customHeight="1">
      <c r="A20" s="50" t="s">
        <v>58</v>
      </c>
      <c r="B20" s="20"/>
      <c r="C20" s="20"/>
      <c r="D20" s="20"/>
      <c r="E20" s="20"/>
      <c r="F20" s="20"/>
      <c r="G20" s="20"/>
      <c r="H20" s="20"/>
      <c r="I20" s="20"/>
      <c r="J20" s="20"/>
      <c r="K20" s="20"/>
      <c r="L20" s="20"/>
      <c r="M20" s="20"/>
      <c r="N20" s="21"/>
    </row>
    <row r="21" ht="25.5" customHeight="1">
      <c r="A21" s="38" t="s">
        <v>64</v>
      </c>
      <c r="B21" s="39"/>
      <c r="C21" s="39"/>
      <c r="D21" s="39"/>
      <c r="E21" s="39"/>
      <c r="F21" s="39"/>
      <c r="G21" s="40"/>
      <c r="H21" s="38" t="s">
        <v>74</v>
      </c>
      <c r="I21" s="39"/>
      <c r="J21" s="39"/>
      <c r="K21" s="39"/>
      <c r="L21" s="39"/>
      <c r="M21" s="39"/>
      <c r="N21" s="40"/>
    </row>
    <row r="22" ht="25.5" customHeight="1">
      <c r="A22" s="41"/>
      <c r="G22" s="42"/>
      <c r="H22" s="41"/>
      <c r="N22" s="42"/>
    </row>
    <row r="23" ht="25.5" customHeight="1">
      <c r="A23" s="41"/>
      <c r="G23" s="42"/>
      <c r="H23" s="41"/>
      <c r="N23" s="42"/>
    </row>
    <row r="24" ht="25.5" customHeight="1">
      <c r="A24" s="43"/>
      <c r="B24" s="45"/>
      <c r="C24" s="45"/>
      <c r="D24" s="45"/>
      <c r="E24" s="45"/>
      <c r="F24" s="45"/>
      <c r="G24" s="47"/>
      <c r="H24" s="43"/>
      <c r="I24" s="45"/>
      <c r="J24" s="45"/>
      <c r="K24" s="45"/>
      <c r="L24" s="45"/>
      <c r="M24" s="45"/>
      <c r="N24" s="47"/>
    </row>
    <row r="25" ht="25.5" customHeight="1">
      <c r="A25" s="48"/>
      <c r="B25" s="48"/>
      <c r="C25" s="48"/>
      <c r="D25" s="48"/>
      <c r="E25" s="48"/>
      <c r="F25" s="48"/>
      <c r="G25" s="48"/>
      <c r="H25" s="48"/>
      <c r="I25" s="48"/>
      <c r="J25" s="48"/>
      <c r="K25" s="48"/>
      <c r="L25" s="48"/>
      <c r="M25" s="48"/>
      <c r="N25" s="48"/>
    </row>
    <row r="26" ht="25.5" customHeight="1">
      <c r="A26" s="38" t="s">
        <v>75</v>
      </c>
      <c r="B26" s="39"/>
      <c r="C26" s="39"/>
      <c r="D26" s="39"/>
      <c r="E26" s="39"/>
      <c r="F26" s="39"/>
      <c r="G26" s="40"/>
      <c r="H26" s="38" t="s">
        <v>76</v>
      </c>
      <c r="I26" s="39"/>
      <c r="J26" s="39"/>
      <c r="K26" s="39"/>
      <c r="L26" s="39"/>
      <c r="M26" s="39"/>
      <c r="N26" s="40"/>
    </row>
    <row r="27" ht="25.5" customHeight="1">
      <c r="A27" s="41"/>
      <c r="G27" s="42"/>
      <c r="H27" s="41"/>
      <c r="N27" s="42"/>
    </row>
    <row r="28" ht="25.5" customHeight="1">
      <c r="A28" s="41"/>
      <c r="G28" s="42"/>
      <c r="H28" s="41"/>
      <c r="N28" s="42"/>
    </row>
    <row r="29" ht="25.5" customHeight="1">
      <c r="A29" s="43"/>
      <c r="B29" s="45"/>
      <c r="C29" s="45"/>
      <c r="D29" s="45"/>
      <c r="E29" s="45"/>
      <c r="F29" s="45"/>
      <c r="G29" s="47"/>
      <c r="H29" s="43"/>
      <c r="I29" s="45"/>
      <c r="J29" s="45"/>
      <c r="K29" s="45"/>
      <c r="L29" s="45"/>
      <c r="M29" s="45"/>
      <c r="N29" s="47"/>
    </row>
    <row r="30" ht="18.0" customHeight="1">
      <c r="A30" s="48"/>
      <c r="B30" s="48"/>
      <c r="C30" s="48"/>
      <c r="D30" s="48"/>
      <c r="E30" s="48"/>
      <c r="F30" s="48"/>
      <c r="G30" s="48"/>
      <c r="H30" s="48"/>
      <c r="I30" s="48"/>
      <c r="J30" s="48"/>
      <c r="K30" s="48"/>
      <c r="L30" s="48"/>
      <c r="M30" s="48"/>
      <c r="N30" s="48"/>
    </row>
    <row r="31" ht="18.0" customHeight="1">
      <c r="A31" s="50" t="s">
        <v>77</v>
      </c>
      <c r="B31" s="20"/>
      <c r="C31" s="20"/>
      <c r="D31" s="20"/>
      <c r="E31" s="20"/>
      <c r="F31" s="20"/>
      <c r="G31" s="20"/>
      <c r="H31" s="20"/>
      <c r="I31" s="20"/>
      <c r="J31" s="20"/>
      <c r="K31" s="20"/>
      <c r="L31" s="20"/>
      <c r="M31" s="20"/>
      <c r="N31" s="21"/>
    </row>
    <row r="32" ht="25.5" customHeight="1">
      <c r="A32" s="38" t="s">
        <v>78</v>
      </c>
      <c r="B32" s="39"/>
      <c r="C32" s="39"/>
      <c r="D32" s="39"/>
      <c r="E32" s="39"/>
      <c r="F32" s="39"/>
      <c r="G32" s="39"/>
      <c r="H32" s="39"/>
      <c r="I32" s="39"/>
      <c r="J32" s="39"/>
      <c r="K32" s="39"/>
      <c r="L32" s="39"/>
      <c r="M32" s="39"/>
      <c r="N32" s="40"/>
    </row>
    <row r="33" ht="25.5" customHeight="1">
      <c r="A33" s="41"/>
      <c r="N33" s="42"/>
    </row>
    <row r="34" ht="25.5" customHeight="1">
      <c r="A34" s="41"/>
      <c r="N34" s="42"/>
    </row>
    <row r="35" ht="25.5" customHeight="1">
      <c r="A35" s="43"/>
      <c r="B35" s="45"/>
      <c r="C35" s="45"/>
      <c r="D35" s="45"/>
      <c r="E35" s="45"/>
      <c r="F35" s="45"/>
      <c r="G35" s="45"/>
      <c r="H35" s="45"/>
      <c r="I35" s="45"/>
      <c r="J35" s="45"/>
      <c r="K35" s="45"/>
      <c r="L35" s="45"/>
      <c r="M35" s="45"/>
      <c r="N35" s="47"/>
    </row>
    <row r="36" ht="25.5" customHeight="1">
      <c r="A36" s="48"/>
      <c r="B36" s="48"/>
      <c r="C36" s="48"/>
      <c r="D36" s="48"/>
      <c r="E36" s="48"/>
      <c r="F36" s="48"/>
      <c r="G36" s="48"/>
      <c r="H36" s="48"/>
      <c r="I36" s="48"/>
      <c r="J36" s="48"/>
      <c r="K36" s="48"/>
      <c r="L36" s="48"/>
      <c r="M36" s="48"/>
      <c r="N36" s="48"/>
    </row>
    <row r="37" ht="25.5" customHeight="1">
      <c r="A37" s="38" t="s">
        <v>79</v>
      </c>
      <c r="B37" s="39"/>
      <c r="C37" s="39"/>
      <c r="D37" s="39"/>
      <c r="E37" s="39"/>
      <c r="F37" s="39"/>
      <c r="G37" s="40"/>
      <c r="H37" s="38" t="s">
        <v>80</v>
      </c>
      <c r="I37" s="39"/>
      <c r="J37" s="39"/>
      <c r="K37" s="39"/>
      <c r="L37" s="39"/>
      <c r="M37" s="39"/>
      <c r="N37" s="40"/>
    </row>
    <row r="38" ht="25.5" customHeight="1">
      <c r="A38" s="41"/>
      <c r="G38" s="42"/>
      <c r="H38" s="41"/>
      <c r="N38" s="42"/>
    </row>
    <row r="39" ht="25.5" customHeight="1">
      <c r="A39" s="41"/>
      <c r="G39" s="42"/>
      <c r="H39" s="41"/>
      <c r="N39" s="42"/>
    </row>
    <row r="40" ht="25.5" customHeight="1">
      <c r="A40" s="43"/>
      <c r="B40" s="45"/>
      <c r="C40" s="45"/>
      <c r="D40" s="45"/>
      <c r="E40" s="45"/>
      <c r="F40" s="45"/>
      <c r="G40" s="47"/>
      <c r="H40" s="43"/>
      <c r="I40" s="45"/>
      <c r="J40" s="45"/>
      <c r="K40" s="45"/>
      <c r="L40" s="45"/>
      <c r="M40" s="45"/>
      <c r="N40" s="47"/>
    </row>
    <row r="41" ht="18.0" customHeight="1">
      <c r="A41" s="5"/>
      <c r="B41" s="5"/>
      <c r="C41" s="5"/>
      <c r="D41" s="5"/>
      <c r="E41" s="5"/>
      <c r="F41" s="5"/>
      <c r="G41" s="5"/>
      <c r="H41" s="5"/>
      <c r="I41" s="5"/>
      <c r="J41" s="5"/>
      <c r="K41" s="5"/>
      <c r="L41" s="5"/>
      <c r="M41" s="5"/>
      <c r="N41" s="5"/>
    </row>
    <row r="42" ht="18.0" customHeight="1">
      <c r="A42" s="36" t="s">
        <v>82</v>
      </c>
    </row>
    <row r="43" ht="23.25" customHeight="1">
      <c r="A43" s="65" t="s">
        <v>84</v>
      </c>
      <c r="B43" s="5"/>
      <c r="C43" s="5"/>
      <c r="D43" s="5"/>
      <c r="E43" s="65" t="s">
        <v>91</v>
      </c>
      <c r="F43" s="66" t="b">
        <v>0</v>
      </c>
      <c r="G43" s="65" t="s">
        <v>94</v>
      </c>
      <c r="H43" s="66" t="b">
        <v>0</v>
      </c>
      <c r="I43" s="65" t="s">
        <v>96</v>
      </c>
      <c r="J43" s="65" t="b">
        <v>0</v>
      </c>
      <c r="K43" s="5"/>
      <c r="L43" s="5"/>
      <c r="M43" s="5"/>
      <c r="N43" s="5"/>
    </row>
    <row r="44" ht="18.0" customHeight="1">
      <c r="A44" s="5"/>
      <c r="B44" s="5"/>
      <c r="C44" s="5"/>
      <c r="D44" s="5"/>
      <c r="E44" s="5"/>
      <c r="F44" s="5"/>
      <c r="G44" s="5"/>
      <c r="H44" s="5"/>
      <c r="I44" s="5"/>
      <c r="J44" s="5"/>
      <c r="K44" s="5"/>
      <c r="L44" s="5"/>
      <c r="M44" s="5"/>
      <c r="N44" s="5"/>
    </row>
    <row r="45" ht="18.0" customHeight="1">
      <c r="A45" s="68"/>
      <c r="B45" s="68"/>
      <c r="C45" s="68"/>
      <c r="D45" s="68"/>
      <c r="E45" s="68"/>
      <c r="F45" s="68"/>
      <c r="G45" s="68"/>
      <c r="H45" s="68"/>
      <c r="I45" s="68"/>
      <c r="J45" s="68"/>
      <c r="K45" s="68"/>
      <c r="L45" s="68"/>
      <c r="M45" s="68"/>
      <c r="N45" s="68"/>
    </row>
  </sheetData>
  <mergeCells count="20">
    <mergeCell ref="A1:N2"/>
    <mergeCell ref="A3:N3"/>
    <mergeCell ref="A4:N4"/>
    <mergeCell ref="B6:F6"/>
    <mergeCell ref="B7:F7"/>
    <mergeCell ref="A9:N9"/>
    <mergeCell ref="A10:N12"/>
    <mergeCell ref="H26:N29"/>
    <mergeCell ref="A31:N31"/>
    <mergeCell ref="A32:N35"/>
    <mergeCell ref="A37:G40"/>
    <mergeCell ref="H37:N40"/>
    <mergeCell ref="A42:N42"/>
    <mergeCell ref="A14:N14"/>
    <mergeCell ref="A15:G18"/>
    <mergeCell ref="H15:N18"/>
    <mergeCell ref="A20:N20"/>
    <mergeCell ref="A21:G24"/>
    <mergeCell ref="H21:N24"/>
    <mergeCell ref="A26:G29"/>
  </mergeCells>
  <dataValidations>
    <dataValidation type="list" allowBlank="1" showInputMessage="1" showErrorMessage="1" prompt="Pick the overall vibe." sqref="B43:D43">
      <formula1>"Obsessed,Loved It,Liked It,It Was Fine,Not For Me,DNF"</formula1>
    </dataValidation>
    <dataValidation type="list" allowBlank="1" showInputMessage="1" prompt="Choose a book from your Reading Vibe catalog." sqref="B6">
      <formula1>READING!$A$14:$A$250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1" width="21.38"/>
    <col customWidth="1" min="2" max="3" width="13.25"/>
    <col customWidth="1" min="4" max="4" width="18.88"/>
    <col customWidth="1" min="5" max="5" width="12.0"/>
    <col customWidth="1" min="6" max="6" width="15.13"/>
    <col customWidth="1" min="7" max="10" width="11.38"/>
    <col customWidth="1" min="11" max="14" width="21.38"/>
  </cols>
  <sheetData>
    <row r="1" ht="21.0" customHeight="1">
      <c r="A1" s="7" t="s">
        <v>5</v>
      </c>
    </row>
    <row r="2" ht="21.0" customHeight="1"/>
    <row r="3">
      <c r="A3" s="9" t="s">
        <v>9</v>
      </c>
    </row>
    <row r="4">
      <c r="A4" s="9" t="s">
        <v>10</v>
      </c>
    </row>
    <row r="6">
      <c r="A6" s="14" t="s">
        <v>12</v>
      </c>
      <c r="C6" s="14" t="s">
        <v>13</v>
      </c>
      <c r="E6" s="14" t="s">
        <v>14</v>
      </c>
      <c r="G6" s="14" t="s">
        <v>15</v>
      </c>
      <c r="I6" s="14" t="s">
        <v>16</v>
      </c>
      <c r="K6" s="14" t="s">
        <v>17</v>
      </c>
      <c r="M6" s="14" t="s">
        <v>19</v>
      </c>
    </row>
    <row r="7">
      <c r="A7" s="22">
        <f>COUNTIF($C$14:$C$250,"Done")</f>
        <v>0</v>
      </c>
      <c r="B7" s="23"/>
      <c r="C7" s="22">
        <f>COUNTIF($C$14:$C$250,"Planned")</f>
        <v>0</v>
      </c>
      <c r="D7" s="23"/>
      <c r="E7" s="22">
        <f>COUNTIF($C$14:$C$250,"Wishlist")</f>
        <v>0</v>
      </c>
      <c r="F7" s="23"/>
      <c r="G7" s="22">
        <f>COUNTIF($J$14:$J$250,TRUE)</f>
        <v>0</v>
      </c>
      <c r="H7" s="23"/>
      <c r="I7" s="33">
        <f>SUM($H$14:$H$250)</f>
        <v>0</v>
      </c>
      <c r="J7" s="23"/>
      <c r="K7" s="22" t="str">
        <f>IFERROR(AVERAGEIF($C$14:$C$250,"Done",$I$14:$I$250),"")</f>
        <v/>
      </c>
      <c r="L7" s="23"/>
      <c r="M7" s="22" t="str">
        <f>IFERROR(__xludf.DUMMYFUNCTION("IFERROR(INDEX(SORT(FILTER({$E$14:$E$250,$A$14:$A$250},$C$14:$C$250=""Planned"",$E$14:$E$250&gt;=TODAY()),1,TRUE),1,2),""Add a planned adventure ✦"")"),"Add a planned adventure ✦")</f>
        <v>Add a planned adventure ✦</v>
      </c>
      <c r="N7" s="23"/>
    </row>
    <row r="9">
      <c r="A9" s="44" t="s">
        <v>51</v>
      </c>
      <c r="H9" s="44" t="s">
        <v>53</v>
      </c>
    </row>
    <row r="10" ht="25.5" customHeight="1">
      <c r="A10" s="51" t="str">
        <f>IFERROR(__xludf.DUMMYFUNCTION("IFERROR(INDEX(SORT(FILTER({$E$14:$E$250,$A$14:$A$250},$C$14:$C$250=""Planned"",$E$14:$E$250&gt;=TODAY()),1,TRUE),1,2)&amp;CHAR(10)&amp;TEXT(INDEX(SORT(FILTER({$E$14:$E$250,$A$14:$A$250},$C$14:$C$250=""Planned"",$E$14:$E$250&gt;=TODAY()),1,TRUE),1,1),""mmm d, yyyy""),"""&amp;"Add a planned adventure ♡"")"),"Add a planned adventure ♡")</f>
        <v>Add a planned adventure ♡</v>
      </c>
      <c r="H10" s="51" t="str">
        <f>IFERROR(__xludf.DUMMYFUNCTION("IFERROR(INDEX(SORT(FILTER({$E$14:$E$250,$A$14:$A$250},$C$14:$C$250=""Done"",$E$14:$E$250&lt;&gt;""""),1,FALSE),1,2),""Your latest adventure will appear here ✦"")"),"Your latest adventure will appear here ✦")</f>
        <v>Your latest adventure will appear here ✦</v>
      </c>
    </row>
    <row r="11" ht="25.5" customHeight="1">
      <c r="A11" s="23"/>
      <c r="B11" s="23"/>
      <c r="C11" s="23"/>
      <c r="D11" s="23"/>
      <c r="E11" s="23"/>
      <c r="F11" s="23"/>
      <c r="G11" s="23"/>
      <c r="H11" s="23"/>
      <c r="I11" s="23"/>
      <c r="J11" s="23"/>
      <c r="K11" s="23"/>
      <c r="L11" s="23"/>
      <c r="M11" s="23"/>
      <c r="N11" s="23"/>
    </row>
    <row r="13">
      <c r="A13" s="52" t="s">
        <v>57</v>
      </c>
      <c r="B13" s="52" t="s">
        <v>59</v>
      </c>
      <c r="C13" s="52" t="s">
        <v>60</v>
      </c>
      <c r="D13" s="52" t="s">
        <v>61</v>
      </c>
      <c r="E13" s="52" t="s">
        <v>62</v>
      </c>
      <c r="F13" s="52" t="s">
        <v>63</v>
      </c>
      <c r="G13" s="52" t="s">
        <v>65</v>
      </c>
      <c r="H13" s="52" t="s">
        <v>66</v>
      </c>
      <c r="I13" s="52" t="s">
        <v>27</v>
      </c>
      <c r="J13" s="52" t="s">
        <v>67</v>
      </c>
      <c r="K13" s="52" t="s">
        <v>68</v>
      </c>
      <c r="L13" s="52" t="s">
        <v>69</v>
      </c>
      <c r="M13" s="52" t="s">
        <v>70</v>
      </c>
      <c r="N13" s="52" t="s">
        <v>71</v>
      </c>
    </row>
    <row r="14">
      <c r="A14" s="55"/>
      <c r="B14" s="55"/>
      <c r="C14" s="55"/>
      <c r="D14" s="55"/>
      <c r="E14" s="57"/>
      <c r="F14" s="55"/>
      <c r="G14" s="58"/>
      <c r="H14" s="58"/>
      <c r="I14" s="55"/>
      <c r="J14" s="55" t="b">
        <v>0</v>
      </c>
      <c r="K14" s="55"/>
      <c r="L14" s="55"/>
      <c r="M14" s="55" t="b">
        <v>0</v>
      </c>
      <c r="N14" s="55"/>
    </row>
    <row r="15">
      <c r="A15" s="60"/>
      <c r="B15" s="60"/>
      <c r="C15" s="60"/>
      <c r="D15" s="60"/>
      <c r="E15" s="61"/>
      <c r="F15" s="60"/>
      <c r="G15" s="62"/>
      <c r="H15" s="62"/>
      <c r="I15" s="60"/>
      <c r="J15" s="60" t="b">
        <v>0</v>
      </c>
      <c r="K15" s="60"/>
      <c r="L15" s="60"/>
      <c r="M15" s="60" t="b">
        <v>0</v>
      </c>
      <c r="N15" s="60"/>
    </row>
    <row r="16">
      <c r="A16" s="55"/>
      <c r="B16" s="55"/>
      <c r="C16" s="55"/>
      <c r="D16" s="55"/>
      <c r="E16" s="57"/>
      <c r="F16" s="55"/>
      <c r="G16" s="58"/>
      <c r="H16" s="58"/>
      <c r="I16" s="55"/>
      <c r="J16" s="55" t="b">
        <v>0</v>
      </c>
      <c r="K16" s="55"/>
      <c r="L16" s="55"/>
      <c r="M16" s="55" t="b">
        <v>0</v>
      </c>
      <c r="N16" s="55"/>
    </row>
    <row r="17">
      <c r="A17" s="60"/>
      <c r="B17" s="60"/>
      <c r="C17" s="60"/>
      <c r="D17" s="60"/>
      <c r="E17" s="61"/>
      <c r="F17" s="60"/>
      <c r="G17" s="62"/>
      <c r="H17" s="62"/>
      <c r="I17" s="60"/>
      <c r="J17" s="60" t="b">
        <v>0</v>
      </c>
      <c r="K17" s="60"/>
      <c r="L17" s="60"/>
      <c r="M17" s="60" t="b">
        <v>0</v>
      </c>
      <c r="N17" s="60"/>
    </row>
    <row r="18">
      <c r="A18" s="55"/>
      <c r="B18" s="55"/>
      <c r="C18" s="55"/>
      <c r="D18" s="55"/>
      <c r="E18" s="57"/>
      <c r="F18" s="55"/>
      <c r="G18" s="58"/>
      <c r="H18" s="58"/>
      <c r="I18" s="55"/>
      <c r="J18" s="55" t="b">
        <v>0</v>
      </c>
      <c r="K18" s="55"/>
      <c r="L18" s="55"/>
      <c r="M18" s="55" t="b">
        <v>0</v>
      </c>
      <c r="N18" s="55"/>
    </row>
    <row r="19">
      <c r="A19" s="60"/>
      <c r="B19" s="60"/>
      <c r="C19" s="60"/>
      <c r="D19" s="60"/>
      <c r="E19" s="61"/>
      <c r="F19" s="60"/>
      <c r="G19" s="62"/>
      <c r="H19" s="62"/>
      <c r="I19" s="60"/>
      <c r="J19" s="60" t="b">
        <v>0</v>
      </c>
      <c r="K19" s="60"/>
      <c r="L19" s="60"/>
      <c r="M19" s="60" t="b">
        <v>0</v>
      </c>
      <c r="N19" s="60"/>
    </row>
    <row r="20">
      <c r="A20" s="55"/>
      <c r="B20" s="55"/>
      <c r="C20" s="55"/>
      <c r="D20" s="55"/>
      <c r="E20" s="57"/>
      <c r="F20" s="55"/>
      <c r="G20" s="58"/>
      <c r="H20" s="58"/>
      <c r="I20" s="55"/>
      <c r="J20" s="55" t="b">
        <v>0</v>
      </c>
      <c r="K20" s="55"/>
      <c r="L20" s="55"/>
      <c r="M20" s="55" t="b">
        <v>0</v>
      </c>
      <c r="N20" s="55"/>
    </row>
    <row r="21">
      <c r="A21" s="60"/>
      <c r="B21" s="60"/>
      <c r="C21" s="60"/>
      <c r="D21" s="60"/>
      <c r="E21" s="61"/>
      <c r="F21" s="60"/>
      <c r="G21" s="62"/>
      <c r="H21" s="62"/>
      <c r="I21" s="60"/>
      <c r="J21" s="60" t="b">
        <v>0</v>
      </c>
      <c r="K21" s="60"/>
      <c r="L21" s="60"/>
      <c r="M21" s="60" t="b">
        <v>0</v>
      </c>
      <c r="N21" s="60"/>
    </row>
    <row r="22">
      <c r="A22" s="55"/>
      <c r="B22" s="55"/>
      <c r="C22" s="55"/>
      <c r="D22" s="55"/>
      <c r="E22" s="57"/>
      <c r="F22" s="55"/>
      <c r="G22" s="58"/>
      <c r="H22" s="58"/>
      <c r="I22" s="55"/>
      <c r="J22" s="55" t="b">
        <v>0</v>
      </c>
      <c r="K22" s="55"/>
      <c r="L22" s="55"/>
      <c r="M22" s="55" t="b">
        <v>0</v>
      </c>
      <c r="N22" s="55"/>
    </row>
    <row r="23">
      <c r="A23" s="60"/>
      <c r="B23" s="60"/>
      <c r="C23" s="60"/>
      <c r="D23" s="60"/>
      <c r="E23" s="61"/>
      <c r="F23" s="60"/>
      <c r="G23" s="62"/>
      <c r="H23" s="62"/>
      <c r="I23" s="60"/>
      <c r="J23" s="60" t="b">
        <v>0</v>
      </c>
      <c r="K23" s="60"/>
      <c r="L23" s="60"/>
      <c r="M23" s="60" t="b">
        <v>0</v>
      </c>
      <c r="N23" s="60"/>
    </row>
    <row r="24">
      <c r="A24" s="55"/>
      <c r="B24" s="55"/>
      <c r="C24" s="55"/>
      <c r="D24" s="55"/>
      <c r="E24" s="57"/>
      <c r="F24" s="55"/>
      <c r="G24" s="58"/>
      <c r="H24" s="58"/>
      <c r="I24" s="55"/>
      <c r="J24" s="55" t="b">
        <v>0</v>
      </c>
      <c r="K24" s="55"/>
      <c r="L24" s="55"/>
      <c r="M24" s="55" t="b">
        <v>0</v>
      </c>
      <c r="N24" s="55"/>
    </row>
    <row r="25">
      <c r="A25" s="60"/>
      <c r="B25" s="60"/>
      <c r="C25" s="60"/>
      <c r="D25" s="60"/>
      <c r="E25" s="61"/>
      <c r="F25" s="60"/>
      <c r="G25" s="62"/>
      <c r="H25" s="62"/>
      <c r="I25" s="60"/>
      <c r="J25" s="60" t="b">
        <v>0</v>
      </c>
      <c r="K25" s="60"/>
      <c r="L25" s="60"/>
      <c r="M25" s="60" t="b">
        <v>0</v>
      </c>
      <c r="N25" s="60"/>
    </row>
    <row r="26">
      <c r="A26" s="55"/>
      <c r="B26" s="55"/>
      <c r="C26" s="55"/>
      <c r="D26" s="55"/>
      <c r="E26" s="57"/>
      <c r="F26" s="55"/>
      <c r="G26" s="58"/>
      <c r="H26" s="58"/>
      <c r="I26" s="55"/>
      <c r="J26" s="55" t="b">
        <v>0</v>
      </c>
      <c r="K26" s="55"/>
      <c r="L26" s="55"/>
      <c r="M26" s="55" t="b">
        <v>0</v>
      </c>
      <c r="N26" s="55"/>
    </row>
    <row r="27">
      <c r="A27" s="60"/>
      <c r="B27" s="60"/>
      <c r="C27" s="60"/>
      <c r="D27" s="60"/>
      <c r="E27" s="61"/>
      <c r="F27" s="60"/>
      <c r="G27" s="62"/>
      <c r="H27" s="62"/>
      <c r="I27" s="60"/>
      <c r="J27" s="60" t="b">
        <v>0</v>
      </c>
      <c r="K27" s="60"/>
      <c r="L27" s="60"/>
      <c r="M27" s="60" t="b">
        <v>0</v>
      </c>
      <c r="N27" s="60"/>
    </row>
    <row r="28">
      <c r="A28" s="55"/>
      <c r="B28" s="55"/>
      <c r="C28" s="55"/>
      <c r="D28" s="55"/>
      <c r="E28" s="57"/>
      <c r="F28" s="55"/>
      <c r="G28" s="58"/>
      <c r="H28" s="58"/>
      <c r="I28" s="55"/>
      <c r="J28" s="55" t="b">
        <v>0</v>
      </c>
      <c r="K28" s="55"/>
      <c r="L28" s="55"/>
      <c r="M28" s="55" t="b">
        <v>0</v>
      </c>
      <c r="N28" s="55"/>
    </row>
    <row r="29">
      <c r="A29" s="60"/>
      <c r="B29" s="60"/>
      <c r="C29" s="60"/>
      <c r="D29" s="60"/>
      <c r="E29" s="61"/>
      <c r="F29" s="60"/>
      <c r="G29" s="62"/>
      <c r="H29" s="62"/>
      <c r="I29" s="60"/>
      <c r="J29" s="60" t="b">
        <v>0</v>
      </c>
      <c r="K29" s="60"/>
      <c r="L29" s="60"/>
      <c r="M29" s="60" t="b">
        <v>0</v>
      </c>
      <c r="N29" s="60"/>
    </row>
    <row r="30">
      <c r="A30" s="55"/>
      <c r="B30" s="55"/>
      <c r="C30" s="55"/>
      <c r="D30" s="55"/>
      <c r="E30" s="57"/>
      <c r="F30" s="55"/>
      <c r="G30" s="58"/>
      <c r="H30" s="58"/>
      <c r="I30" s="55"/>
      <c r="J30" s="55" t="b">
        <v>0</v>
      </c>
      <c r="K30" s="55"/>
      <c r="L30" s="55"/>
      <c r="M30" s="55" t="b">
        <v>0</v>
      </c>
      <c r="N30" s="55"/>
    </row>
    <row r="31">
      <c r="A31" s="60"/>
      <c r="B31" s="60"/>
      <c r="C31" s="60"/>
      <c r="D31" s="60"/>
      <c r="E31" s="61"/>
      <c r="F31" s="60"/>
      <c r="G31" s="62"/>
      <c r="H31" s="62"/>
      <c r="I31" s="60"/>
      <c r="J31" s="60" t="b">
        <v>0</v>
      </c>
      <c r="K31" s="60"/>
      <c r="L31" s="60"/>
      <c r="M31" s="60" t="b">
        <v>0</v>
      </c>
      <c r="N31" s="60"/>
    </row>
    <row r="32">
      <c r="A32" s="55"/>
      <c r="B32" s="55"/>
      <c r="C32" s="55"/>
      <c r="D32" s="55"/>
      <c r="E32" s="57"/>
      <c r="F32" s="55"/>
      <c r="G32" s="58"/>
      <c r="H32" s="58"/>
      <c r="I32" s="55"/>
      <c r="J32" s="55" t="b">
        <v>0</v>
      </c>
      <c r="K32" s="55"/>
      <c r="L32" s="55"/>
      <c r="M32" s="55" t="b">
        <v>0</v>
      </c>
      <c r="N32" s="55"/>
    </row>
    <row r="33">
      <c r="A33" s="60"/>
      <c r="B33" s="60"/>
      <c r="C33" s="60"/>
      <c r="D33" s="60"/>
      <c r="E33" s="61"/>
      <c r="F33" s="60"/>
      <c r="G33" s="62"/>
      <c r="H33" s="62"/>
      <c r="I33" s="60"/>
      <c r="J33" s="60" t="b">
        <v>0</v>
      </c>
      <c r="K33" s="60"/>
      <c r="L33" s="60"/>
      <c r="M33" s="60" t="b">
        <v>0</v>
      </c>
      <c r="N33" s="60"/>
    </row>
    <row r="34">
      <c r="A34" s="55"/>
      <c r="B34" s="55"/>
      <c r="C34" s="55"/>
      <c r="D34" s="55"/>
      <c r="E34" s="57"/>
      <c r="F34" s="55"/>
      <c r="G34" s="58"/>
      <c r="H34" s="58"/>
      <c r="I34" s="55"/>
      <c r="J34" s="55" t="b">
        <v>0</v>
      </c>
      <c r="K34" s="55"/>
      <c r="L34" s="55"/>
      <c r="M34" s="55" t="b">
        <v>0</v>
      </c>
      <c r="N34" s="55"/>
    </row>
    <row r="35">
      <c r="A35" s="60"/>
      <c r="B35" s="60"/>
      <c r="C35" s="60"/>
      <c r="D35" s="60"/>
      <c r="E35" s="61"/>
      <c r="F35" s="60"/>
      <c r="G35" s="62"/>
      <c r="H35" s="62"/>
      <c r="I35" s="60"/>
      <c r="J35" s="60" t="b">
        <v>0</v>
      </c>
      <c r="K35" s="60"/>
      <c r="L35" s="60"/>
      <c r="M35" s="60" t="b">
        <v>0</v>
      </c>
      <c r="N35" s="60"/>
    </row>
    <row r="36">
      <c r="A36" s="55"/>
      <c r="B36" s="55"/>
      <c r="C36" s="55"/>
      <c r="D36" s="55"/>
      <c r="E36" s="57"/>
      <c r="F36" s="55"/>
      <c r="G36" s="58"/>
      <c r="H36" s="58"/>
      <c r="I36" s="55"/>
      <c r="J36" s="55" t="b">
        <v>0</v>
      </c>
      <c r="K36" s="55"/>
      <c r="L36" s="55"/>
      <c r="M36" s="55" t="b">
        <v>0</v>
      </c>
      <c r="N36" s="55"/>
    </row>
    <row r="37">
      <c r="A37" s="60"/>
      <c r="B37" s="60"/>
      <c r="C37" s="60"/>
      <c r="D37" s="60"/>
      <c r="E37" s="61"/>
      <c r="F37" s="60"/>
      <c r="G37" s="62"/>
      <c r="H37" s="62"/>
      <c r="I37" s="60"/>
      <c r="J37" s="60" t="b">
        <v>0</v>
      </c>
      <c r="K37" s="60"/>
      <c r="L37" s="60"/>
      <c r="M37" s="60" t="b">
        <v>0</v>
      </c>
      <c r="N37" s="60"/>
    </row>
    <row r="38">
      <c r="A38" s="55"/>
      <c r="B38" s="55"/>
      <c r="C38" s="55"/>
      <c r="D38" s="55"/>
      <c r="E38" s="57"/>
      <c r="F38" s="55"/>
      <c r="G38" s="58"/>
      <c r="H38" s="58"/>
      <c r="I38" s="55"/>
      <c r="J38" s="55" t="b">
        <v>0</v>
      </c>
      <c r="K38" s="55"/>
      <c r="L38" s="55"/>
      <c r="M38" s="55" t="b">
        <v>0</v>
      </c>
      <c r="N38" s="55"/>
    </row>
    <row r="39">
      <c r="A39" s="60"/>
      <c r="B39" s="60"/>
      <c r="C39" s="60"/>
      <c r="D39" s="60"/>
      <c r="E39" s="61"/>
      <c r="F39" s="60"/>
      <c r="G39" s="62"/>
      <c r="H39" s="62"/>
      <c r="I39" s="60"/>
      <c r="J39" s="60" t="b">
        <v>0</v>
      </c>
      <c r="K39" s="60"/>
      <c r="L39" s="60"/>
      <c r="M39" s="60" t="b">
        <v>0</v>
      </c>
      <c r="N39" s="60"/>
    </row>
    <row r="40">
      <c r="A40" s="55"/>
      <c r="B40" s="55"/>
      <c r="C40" s="55"/>
      <c r="D40" s="55"/>
      <c r="E40" s="57"/>
      <c r="F40" s="55"/>
      <c r="G40" s="58"/>
      <c r="H40" s="58"/>
      <c r="I40" s="55"/>
      <c r="J40" s="55" t="b">
        <v>0</v>
      </c>
      <c r="K40" s="55"/>
      <c r="L40" s="55"/>
      <c r="M40" s="55" t="b">
        <v>0</v>
      </c>
      <c r="N40" s="55"/>
    </row>
    <row r="41">
      <c r="A41" s="60"/>
      <c r="B41" s="60"/>
      <c r="C41" s="60"/>
      <c r="D41" s="60"/>
      <c r="E41" s="61"/>
      <c r="F41" s="60"/>
      <c r="G41" s="62"/>
      <c r="H41" s="62"/>
      <c r="I41" s="60"/>
      <c r="J41" s="60" t="b">
        <v>0</v>
      </c>
      <c r="K41" s="60"/>
      <c r="L41" s="60"/>
      <c r="M41" s="60" t="b">
        <v>0</v>
      </c>
      <c r="N41" s="60"/>
    </row>
    <row r="42">
      <c r="A42" s="55"/>
      <c r="B42" s="55"/>
      <c r="C42" s="55"/>
      <c r="D42" s="55"/>
      <c r="E42" s="57"/>
      <c r="F42" s="55"/>
      <c r="G42" s="58"/>
      <c r="H42" s="58"/>
      <c r="I42" s="55"/>
      <c r="J42" s="55" t="b">
        <v>0</v>
      </c>
      <c r="K42" s="55"/>
      <c r="L42" s="55"/>
      <c r="M42" s="55" t="b">
        <v>0</v>
      </c>
      <c r="N42" s="55"/>
    </row>
    <row r="43">
      <c r="A43" s="60"/>
      <c r="B43" s="60"/>
      <c r="C43" s="60"/>
      <c r="D43" s="60"/>
      <c r="E43" s="61"/>
      <c r="F43" s="60"/>
      <c r="G43" s="62"/>
      <c r="H43" s="62"/>
      <c r="I43" s="60"/>
      <c r="J43" s="60" t="b">
        <v>0</v>
      </c>
      <c r="K43" s="60"/>
      <c r="L43" s="60"/>
      <c r="M43" s="60" t="b">
        <v>0</v>
      </c>
      <c r="N43" s="60"/>
    </row>
    <row r="44">
      <c r="A44" s="55"/>
      <c r="B44" s="55"/>
      <c r="C44" s="55"/>
      <c r="D44" s="55"/>
      <c r="E44" s="57"/>
      <c r="F44" s="55"/>
      <c r="G44" s="58"/>
      <c r="H44" s="58"/>
      <c r="I44" s="55"/>
      <c r="J44" s="55" t="b">
        <v>0</v>
      </c>
      <c r="K44" s="55"/>
      <c r="L44" s="55"/>
      <c r="M44" s="55" t="b">
        <v>0</v>
      </c>
      <c r="N44" s="55"/>
    </row>
    <row r="45">
      <c r="A45" s="60"/>
      <c r="B45" s="60"/>
      <c r="C45" s="60"/>
      <c r="D45" s="60"/>
      <c r="E45" s="61"/>
      <c r="F45" s="60"/>
      <c r="G45" s="62"/>
      <c r="H45" s="62"/>
      <c r="I45" s="60"/>
      <c r="J45" s="60" t="b">
        <v>0</v>
      </c>
      <c r="K45" s="60"/>
      <c r="L45" s="60"/>
      <c r="M45" s="60" t="b">
        <v>0</v>
      </c>
      <c r="N45" s="60"/>
    </row>
    <row r="46">
      <c r="A46" s="55"/>
      <c r="B46" s="55"/>
      <c r="C46" s="55"/>
      <c r="D46" s="55"/>
      <c r="E46" s="57"/>
      <c r="F46" s="55"/>
      <c r="G46" s="58"/>
      <c r="H46" s="58"/>
      <c r="I46" s="55"/>
      <c r="J46" s="55" t="b">
        <v>0</v>
      </c>
      <c r="K46" s="55"/>
      <c r="L46" s="55"/>
      <c r="M46" s="55" t="b">
        <v>0</v>
      </c>
      <c r="N46" s="55"/>
    </row>
    <row r="47">
      <c r="A47" s="60"/>
      <c r="B47" s="60"/>
      <c r="C47" s="60"/>
      <c r="D47" s="60"/>
      <c r="E47" s="61"/>
      <c r="F47" s="60"/>
      <c r="G47" s="62"/>
      <c r="H47" s="62"/>
      <c r="I47" s="60"/>
      <c r="J47" s="60" t="b">
        <v>0</v>
      </c>
      <c r="K47" s="60"/>
      <c r="L47" s="60"/>
      <c r="M47" s="60" t="b">
        <v>0</v>
      </c>
      <c r="N47" s="60"/>
    </row>
    <row r="48">
      <c r="A48" s="55"/>
      <c r="B48" s="55"/>
      <c r="C48" s="55"/>
      <c r="D48" s="55"/>
      <c r="E48" s="57"/>
      <c r="F48" s="55"/>
      <c r="G48" s="58"/>
      <c r="H48" s="58"/>
      <c r="I48" s="55"/>
      <c r="J48" s="55" t="b">
        <v>0</v>
      </c>
      <c r="K48" s="55"/>
      <c r="L48" s="55"/>
      <c r="M48" s="55" t="b">
        <v>0</v>
      </c>
      <c r="N48" s="55"/>
    </row>
    <row r="49">
      <c r="A49" s="60"/>
      <c r="B49" s="60"/>
      <c r="C49" s="60"/>
      <c r="D49" s="60"/>
      <c r="E49" s="61"/>
      <c r="F49" s="60"/>
      <c r="G49" s="62"/>
      <c r="H49" s="62"/>
      <c r="I49" s="60"/>
      <c r="J49" s="60" t="b">
        <v>0</v>
      </c>
      <c r="K49" s="60"/>
      <c r="L49" s="60"/>
      <c r="M49" s="60" t="b">
        <v>0</v>
      </c>
      <c r="N49" s="60"/>
    </row>
    <row r="50">
      <c r="A50" s="55"/>
      <c r="B50" s="55"/>
      <c r="C50" s="55"/>
      <c r="D50" s="55"/>
      <c r="E50" s="57"/>
      <c r="F50" s="55"/>
      <c r="G50" s="58"/>
      <c r="H50" s="58"/>
      <c r="I50" s="55"/>
      <c r="J50" s="55" t="b">
        <v>0</v>
      </c>
      <c r="K50" s="55"/>
      <c r="L50" s="55"/>
      <c r="M50" s="55" t="b">
        <v>0</v>
      </c>
      <c r="N50" s="55"/>
    </row>
    <row r="51">
      <c r="A51" s="60"/>
      <c r="B51" s="60"/>
      <c r="C51" s="60"/>
      <c r="D51" s="60"/>
      <c r="E51" s="61"/>
      <c r="F51" s="60"/>
      <c r="G51" s="62"/>
      <c r="H51" s="62"/>
      <c r="I51" s="60"/>
      <c r="J51" s="60" t="b">
        <v>0</v>
      </c>
      <c r="K51" s="60"/>
      <c r="L51" s="60"/>
      <c r="M51" s="60" t="b">
        <v>0</v>
      </c>
      <c r="N51" s="60"/>
    </row>
    <row r="52">
      <c r="A52" s="55"/>
      <c r="B52" s="55"/>
      <c r="C52" s="55"/>
      <c r="D52" s="55"/>
      <c r="E52" s="57"/>
      <c r="F52" s="55"/>
      <c r="G52" s="58"/>
      <c r="H52" s="58"/>
      <c r="I52" s="55"/>
      <c r="J52" s="55" t="b">
        <v>0</v>
      </c>
      <c r="K52" s="55"/>
      <c r="L52" s="55"/>
      <c r="M52" s="55" t="b">
        <v>0</v>
      </c>
      <c r="N52" s="55"/>
    </row>
    <row r="53">
      <c r="A53" s="60"/>
      <c r="B53" s="60"/>
      <c r="C53" s="60"/>
      <c r="D53" s="60"/>
      <c r="E53" s="61"/>
      <c r="F53" s="60"/>
      <c r="G53" s="62"/>
      <c r="H53" s="62"/>
      <c r="I53" s="60"/>
      <c r="J53" s="60" t="b">
        <v>0</v>
      </c>
      <c r="K53" s="60"/>
      <c r="L53" s="60"/>
      <c r="M53" s="60" t="b">
        <v>0</v>
      </c>
      <c r="N53" s="60"/>
    </row>
    <row r="54">
      <c r="A54" s="55"/>
      <c r="B54" s="55"/>
      <c r="C54" s="55"/>
      <c r="D54" s="55"/>
      <c r="E54" s="57"/>
      <c r="F54" s="55"/>
      <c r="G54" s="58"/>
      <c r="H54" s="58"/>
      <c r="I54" s="55"/>
      <c r="J54" s="55" t="b">
        <v>0</v>
      </c>
      <c r="K54" s="55"/>
      <c r="L54" s="55"/>
      <c r="M54" s="55" t="b">
        <v>0</v>
      </c>
      <c r="N54" s="55"/>
    </row>
    <row r="55">
      <c r="A55" s="60"/>
      <c r="B55" s="60"/>
      <c r="C55" s="60"/>
      <c r="D55" s="60"/>
      <c r="E55" s="61"/>
      <c r="F55" s="60"/>
      <c r="G55" s="62"/>
      <c r="H55" s="62"/>
      <c r="I55" s="60"/>
      <c r="J55" s="60" t="b">
        <v>0</v>
      </c>
      <c r="K55" s="60"/>
      <c r="L55" s="60"/>
      <c r="M55" s="60" t="b">
        <v>0</v>
      </c>
      <c r="N55" s="60"/>
    </row>
    <row r="56">
      <c r="A56" s="55"/>
      <c r="B56" s="55"/>
      <c r="C56" s="55"/>
      <c r="D56" s="55"/>
      <c r="E56" s="57"/>
      <c r="F56" s="55"/>
      <c r="G56" s="58"/>
      <c r="H56" s="58"/>
      <c r="I56" s="55"/>
      <c r="J56" s="55" t="b">
        <v>0</v>
      </c>
      <c r="K56" s="55"/>
      <c r="L56" s="55"/>
      <c r="M56" s="55" t="b">
        <v>0</v>
      </c>
      <c r="N56" s="55"/>
    </row>
    <row r="57">
      <c r="A57" s="60"/>
      <c r="B57" s="60"/>
      <c r="C57" s="60"/>
      <c r="D57" s="60"/>
      <c r="E57" s="61"/>
      <c r="F57" s="60"/>
      <c r="G57" s="62"/>
      <c r="H57" s="62"/>
      <c r="I57" s="60"/>
      <c r="J57" s="60" t="b">
        <v>0</v>
      </c>
      <c r="K57" s="60"/>
      <c r="L57" s="60"/>
      <c r="M57" s="60" t="b">
        <v>0</v>
      </c>
      <c r="N57" s="60"/>
    </row>
    <row r="58">
      <c r="A58" s="55"/>
      <c r="B58" s="55"/>
      <c r="C58" s="55"/>
      <c r="D58" s="55"/>
      <c r="E58" s="57"/>
      <c r="F58" s="55"/>
      <c r="G58" s="58"/>
      <c r="H58" s="58"/>
      <c r="I58" s="55"/>
      <c r="J58" s="55" t="b">
        <v>0</v>
      </c>
      <c r="K58" s="55"/>
      <c r="L58" s="55"/>
      <c r="M58" s="55" t="b">
        <v>0</v>
      </c>
      <c r="N58" s="55"/>
    </row>
    <row r="59">
      <c r="A59" s="60"/>
      <c r="B59" s="60"/>
      <c r="C59" s="60"/>
      <c r="D59" s="60"/>
      <c r="E59" s="61"/>
      <c r="F59" s="60"/>
      <c r="G59" s="62"/>
      <c r="H59" s="62"/>
      <c r="I59" s="60"/>
      <c r="J59" s="60" t="b">
        <v>0</v>
      </c>
      <c r="K59" s="60"/>
      <c r="L59" s="60"/>
      <c r="M59" s="60" t="b">
        <v>0</v>
      </c>
      <c r="N59" s="60"/>
    </row>
    <row r="60">
      <c r="A60" s="55"/>
      <c r="B60" s="55"/>
      <c r="C60" s="55"/>
      <c r="D60" s="55"/>
      <c r="E60" s="57"/>
      <c r="F60" s="55"/>
      <c r="G60" s="58"/>
      <c r="H60" s="58"/>
      <c r="I60" s="55"/>
      <c r="J60" s="55" t="b">
        <v>0</v>
      </c>
      <c r="K60" s="55"/>
      <c r="L60" s="55"/>
      <c r="M60" s="55" t="b">
        <v>0</v>
      </c>
      <c r="N60" s="55"/>
    </row>
    <row r="61">
      <c r="A61" s="60"/>
      <c r="B61" s="60"/>
      <c r="C61" s="60"/>
      <c r="D61" s="60"/>
      <c r="E61" s="61"/>
      <c r="F61" s="60"/>
      <c r="G61" s="62"/>
      <c r="H61" s="62"/>
      <c r="I61" s="60"/>
      <c r="J61" s="60" t="b">
        <v>0</v>
      </c>
      <c r="K61" s="60"/>
      <c r="L61" s="60"/>
      <c r="M61" s="60" t="b">
        <v>0</v>
      </c>
      <c r="N61" s="60"/>
    </row>
    <row r="62">
      <c r="A62" s="55"/>
      <c r="B62" s="55"/>
      <c r="C62" s="55"/>
      <c r="D62" s="55"/>
      <c r="E62" s="57"/>
      <c r="F62" s="55"/>
      <c r="G62" s="58"/>
      <c r="H62" s="58"/>
      <c r="I62" s="55"/>
      <c r="J62" s="55" t="b">
        <v>0</v>
      </c>
      <c r="K62" s="55"/>
      <c r="L62" s="55"/>
      <c r="M62" s="55" t="b">
        <v>0</v>
      </c>
      <c r="N62" s="55"/>
    </row>
    <row r="63">
      <c r="A63" s="60"/>
      <c r="B63" s="60"/>
      <c r="C63" s="60"/>
      <c r="D63" s="60"/>
      <c r="E63" s="61"/>
      <c r="F63" s="60"/>
      <c r="G63" s="62"/>
      <c r="H63" s="62"/>
      <c r="I63" s="60"/>
      <c r="J63" s="60" t="b">
        <v>0</v>
      </c>
      <c r="K63" s="60"/>
      <c r="L63" s="60"/>
      <c r="M63" s="60" t="b">
        <v>0</v>
      </c>
      <c r="N63" s="60"/>
    </row>
    <row r="64">
      <c r="A64" s="55"/>
      <c r="B64" s="55"/>
      <c r="C64" s="55"/>
      <c r="D64" s="55"/>
      <c r="E64" s="57"/>
      <c r="F64" s="55"/>
      <c r="G64" s="58"/>
      <c r="H64" s="58"/>
      <c r="I64" s="55"/>
      <c r="J64" s="55" t="b">
        <v>0</v>
      </c>
      <c r="K64" s="55"/>
      <c r="L64" s="55"/>
      <c r="M64" s="55" t="b">
        <v>0</v>
      </c>
      <c r="N64" s="55"/>
    </row>
    <row r="65">
      <c r="A65" s="60"/>
      <c r="B65" s="60"/>
      <c r="C65" s="60"/>
      <c r="D65" s="60"/>
      <c r="E65" s="61"/>
      <c r="F65" s="60"/>
      <c r="G65" s="62"/>
      <c r="H65" s="62"/>
      <c r="I65" s="60"/>
      <c r="J65" s="60" t="b">
        <v>0</v>
      </c>
      <c r="K65" s="60"/>
      <c r="L65" s="60"/>
      <c r="M65" s="60" t="b">
        <v>0</v>
      </c>
      <c r="N65" s="60"/>
    </row>
    <row r="66">
      <c r="A66" s="55"/>
      <c r="B66" s="55"/>
      <c r="C66" s="55"/>
      <c r="D66" s="55"/>
      <c r="E66" s="57"/>
      <c r="F66" s="55"/>
      <c r="G66" s="58"/>
      <c r="H66" s="58"/>
      <c r="I66" s="55"/>
      <c r="J66" s="55" t="b">
        <v>0</v>
      </c>
      <c r="K66" s="55"/>
      <c r="L66" s="55"/>
      <c r="M66" s="55" t="b">
        <v>0</v>
      </c>
      <c r="N66" s="55"/>
    </row>
    <row r="67">
      <c r="A67" s="60"/>
      <c r="B67" s="60"/>
      <c r="C67" s="60"/>
      <c r="D67" s="60"/>
      <c r="E67" s="61"/>
      <c r="F67" s="60"/>
      <c r="G67" s="62"/>
      <c r="H67" s="62"/>
      <c r="I67" s="60"/>
      <c r="J67" s="60" t="b">
        <v>0</v>
      </c>
      <c r="K67" s="60"/>
      <c r="L67" s="60"/>
      <c r="M67" s="60" t="b">
        <v>0</v>
      </c>
      <c r="N67" s="60"/>
    </row>
    <row r="68">
      <c r="A68" s="55"/>
      <c r="B68" s="55"/>
      <c r="C68" s="55"/>
      <c r="D68" s="55"/>
      <c r="E68" s="57"/>
      <c r="F68" s="55"/>
      <c r="G68" s="58"/>
      <c r="H68" s="58"/>
      <c r="I68" s="55"/>
      <c r="J68" s="55" t="b">
        <v>0</v>
      </c>
      <c r="K68" s="55"/>
      <c r="L68" s="55"/>
      <c r="M68" s="55" t="b">
        <v>0</v>
      </c>
      <c r="N68" s="55"/>
    </row>
    <row r="69">
      <c r="A69" s="60"/>
      <c r="B69" s="60"/>
      <c r="C69" s="60"/>
      <c r="D69" s="60"/>
      <c r="E69" s="61"/>
      <c r="F69" s="60"/>
      <c r="G69" s="62"/>
      <c r="H69" s="62"/>
      <c r="I69" s="60"/>
      <c r="J69" s="60" t="b">
        <v>0</v>
      </c>
      <c r="K69" s="60"/>
      <c r="L69" s="60"/>
      <c r="M69" s="60" t="b">
        <v>0</v>
      </c>
      <c r="N69" s="60"/>
    </row>
    <row r="70">
      <c r="A70" s="55"/>
      <c r="B70" s="55"/>
      <c r="C70" s="55"/>
      <c r="D70" s="55"/>
      <c r="E70" s="57"/>
      <c r="F70" s="55"/>
      <c r="G70" s="58"/>
      <c r="H70" s="58"/>
      <c r="I70" s="55"/>
      <c r="J70" s="55" t="b">
        <v>0</v>
      </c>
      <c r="K70" s="55"/>
      <c r="L70" s="55"/>
      <c r="M70" s="55" t="b">
        <v>0</v>
      </c>
      <c r="N70" s="55"/>
    </row>
    <row r="71">
      <c r="A71" s="60"/>
      <c r="B71" s="60"/>
      <c r="C71" s="60"/>
      <c r="D71" s="60"/>
      <c r="E71" s="61"/>
      <c r="F71" s="60"/>
      <c r="G71" s="62"/>
      <c r="H71" s="62"/>
      <c r="I71" s="60"/>
      <c r="J71" s="60" t="b">
        <v>0</v>
      </c>
      <c r="K71" s="60"/>
      <c r="L71" s="60"/>
      <c r="M71" s="60" t="b">
        <v>0</v>
      </c>
      <c r="N71" s="60"/>
    </row>
    <row r="72">
      <c r="A72" s="55"/>
      <c r="B72" s="55"/>
      <c r="C72" s="55"/>
      <c r="D72" s="55"/>
      <c r="E72" s="57"/>
      <c r="F72" s="55"/>
      <c r="G72" s="58"/>
      <c r="H72" s="58"/>
      <c r="I72" s="55"/>
      <c r="J72" s="55" t="b">
        <v>0</v>
      </c>
      <c r="K72" s="55"/>
      <c r="L72" s="55"/>
      <c r="M72" s="55" t="b">
        <v>0</v>
      </c>
      <c r="N72" s="55"/>
    </row>
    <row r="73">
      <c r="A73" s="60"/>
      <c r="B73" s="60"/>
      <c r="C73" s="60"/>
      <c r="D73" s="60"/>
      <c r="E73" s="61"/>
      <c r="F73" s="60"/>
      <c r="G73" s="62"/>
      <c r="H73" s="62"/>
      <c r="I73" s="60"/>
      <c r="J73" s="60" t="b">
        <v>0</v>
      </c>
      <c r="K73" s="60"/>
      <c r="L73" s="60"/>
      <c r="M73" s="60" t="b">
        <v>0</v>
      </c>
      <c r="N73" s="60"/>
    </row>
    <row r="74">
      <c r="A74" s="55"/>
      <c r="B74" s="55"/>
      <c r="C74" s="55"/>
      <c r="D74" s="55"/>
      <c r="E74" s="57"/>
      <c r="F74" s="55"/>
      <c r="G74" s="58"/>
      <c r="H74" s="58"/>
      <c r="I74" s="55"/>
      <c r="J74" s="55" t="b">
        <v>0</v>
      </c>
      <c r="K74" s="55"/>
      <c r="L74" s="55"/>
      <c r="M74" s="55" t="b">
        <v>0</v>
      </c>
      <c r="N74" s="55"/>
    </row>
    <row r="75">
      <c r="A75" s="60"/>
      <c r="B75" s="60"/>
      <c r="C75" s="60"/>
      <c r="D75" s="60"/>
      <c r="E75" s="61"/>
      <c r="F75" s="60"/>
      <c r="G75" s="62"/>
      <c r="H75" s="62"/>
      <c r="I75" s="60"/>
      <c r="J75" s="60" t="b">
        <v>0</v>
      </c>
      <c r="K75" s="60"/>
      <c r="L75" s="60"/>
      <c r="M75" s="60" t="b">
        <v>0</v>
      </c>
      <c r="N75" s="60"/>
    </row>
    <row r="76">
      <c r="A76" s="55"/>
      <c r="B76" s="55"/>
      <c r="C76" s="55"/>
      <c r="D76" s="55"/>
      <c r="E76" s="57"/>
      <c r="F76" s="55"/>
      <c r="G76" s="58"/>
      <c r="H76" s="58"/>
      <c r="I76" s="55"/>
      <c r="J76" s="55" t="b">
        <v>0</v>
      </c>
      <c r="K76" s="55"/>
      <c r="L76" s="55"/>
      <c r="M76" s="55" t="b">
        <v>0</v>
      </c>
      <c r="N76" s="55"/>
    </row>
    <row r="77">
      <c r="A77" s="60"/>
      <c r="B77" s="60"/>
      <c r="C77" s="60"/>
      <c r="D77" s="60"/>
      <c r="E77" s="61"/>
      <c r="F77" s="60"/>
      <c r="G77" s="62"/>
      <c r="H77" s="62"/>
      <c r="I77" s="60"/>
      <c r="J77" s="60" t="b">
        <v>0</v>
      </c>
      <c r="K77" s="60"/>
      <c r="L77" s="60"/>
      <c r="M77" s="60" t="b">
        <v>0</v>
      </c>
      <c r="N77" s="60"/>
    </row>
    <row r="78">
      <c r="A78" s="55"/>
      <c r="B78" s="55"/>
      <c r="C78" s="55"/>
      <c r="D78" s="55"/>
      <c r="E78" s="57"/>
      <c r="F78" s="55"/>
      <c r="G78" s="58"/>
      <c r="H78" s="58"/>
      <c r="I78" s="55"/>
      <c r="J78" s="55" t="b">
        <v>0</v>
      </c>
      <c r="K78" s="55"/>
      <c r="L78" s="55"/>
      <c r="M78" s="55" t="b">
        <v>0</v>
      </c>
      <c r="N78" s="55"/>
    </row>
    <row r="79">
      <c r="A79" s="60"/>
      <c r="B79" s="60"/>
      <c r="C79" s="60"/>
      <c r="D79" s="60"/>
      <c r="E79" s="61"/>
      <c r="F79" s="60"/>
      <c r="G79" s="62"/>
      <c r="H79" s="62"/>
      <c r="I79" s="60"/>
      <c r="J79" s="60" t="b">
        <v>0</v>
      </c>
      <c r="K79" s="60"/>
      <c r="L79" s="60"/>
      <c r="M79" s="60" t="b">
        <v>0</v>
      </c>
      <c r="N79" s="60"/>
    </row>
    <row r="80">
      <c r="A80" s="55"/>
      <c r="B80" s="55"/>
      <c r="C80" s="55"/>
      <c r="D80" s="55"/>
      <c r="E80" s="57"/>
      <c r="F80" s="55"/>
      <c r="G80" s="58"/>
      <c r="H80" s="58"/>
      <c r="I80" s="55"/>
      <c r="J80" s="55" t="b">
        <v>0</v>
      </c>
      <c r="K80" s="55"/>
      <c r="L80" s="55"/>
      <c r="M80" s="55" t="b">
        <v>0</v>
      </c>
      <c r="N80" s="55"/>
    </row>
    <row r="81">
      <c r="A81" s="60"/>
      <c r="B81" s="60"/>
      <c r="C81" s="60"/>
      <c r="D81" s="60"/>
      <c r="E81" s="61"/>
      <c r="F81" s="60"/>
      <c r="G81" s="62"/>
      <c r="H81" s="62"/>
      <c r="I81" s="60"/>
      <c r="J81" s="60" t="b">
        <v>0</v>
      </c>
      <c r="K81" s="60"/>
      <c r="L81" s="60"/>
      <c r="M81" s="60" t="b">
        <v>0</v>
      </c>
      <c r="N81" s="60"/>
    </row>
    <row r="82">
      <c r="A82" s="55"/>
      <c r="B82" s="55"/>
      <c r="C82" s="55"/>
      <c r="D82" s="55"/>
      <c r="E82" s="57"/>
      <c r="F82" s="55"/>
      <c r="G82" s="58"/>
      <c r="H82" s="58"/>
      <c r="I82" s="55"/>
      <c r="J82" s="55" t="b">
        <v>0</v>
      </c>
      <c r="K82" s="55"/>
      <c r="L82" s="55"/>
      <c r="M82" s="55" t="b">
        <v>0</v>
      </c>
      <c r="N82" s="55"/>
    </row>
    <row r="83">
      <c r="A83" s="60"/>
      <c r="B83" s="60"/>
      <c r="C83" s="60"/>
      <c r="D83" s="60"/>
      <c r="E83" s="61"/>
      <c r="F83" s="60"/>
      <c r="G83" s="62"/>
      <c r="H83" s="62"/>
      <c r="I83" s="60"/>
      <c r="J83" s="60" t="b">
        <v>0</v>
      </c>
      <c r="K83" s="60"/>
      <c r="L83" s="60"/>
      <c r="M83" s="60" t="b">
        <v>0</v>
      </c>
      <c r="N83" s="60"/>
    </row>
    <row r="84">
      <c r="A84" s="55"/>
      <c r="B84" s="55"/>
      <c r="C84" s="55"/>
      <c r="D84" s="55"/>
      <c r="E84" s="57"/>
      <c r="F84" s="55"/>
      <c r="G84" s="58"/>
      <c r="H84" s="58"/>
      <c r="I84" s="55"/>
      <c r="J84" s="55" t="b">
        <v>0</v>
      </c>
      <c r="K84" s="55"/>
      <c r="L84" s="55"/>
      <c r="M84" s="55" t="b">
        <v>0</v>
      </c>
      <c r="N84" s="55"/>
    </row>
    <row r="85">
      <c r="A85" s="60"/>
      <c r="B85" s="60"/>
      <c r="C85" s="60"/>
      <c r="D85" s="60"/>
      <c r="E85" s="61"/>
      <c r="F85" s="60"/>
      <c r="G85" s="62"/>
      <c r="H85" s="62"/>
      <c r="I85" s="60"/>
      <c r="J85" s="60" t="b">
        <v>0</v>
      </c>
      <c r="K85" s="60"/>
      <c r="L85" s="60"/>
      <c r="M85" s="60" t="b">
        <v>0</v>
      </c>
      <c r="N85" s="60"/>
    </row>
    <row r="86">
      <c r="A86" s="55"/>
      <c r="B86" s="55"/>
      <c r="C86" s="55"/>
      <c r="D86" s="55"/>
      <c r="E86" s="57"/>
      <c r="F86" s="55"/>
      <c r="G86" s="58"/>
      <c r="H86" s="58"/>
      <c r="I86" s="55"/>
      <c r="J86" s="55" t="b">
        <v>0</v>
      </c>
      <c r="K86" s="55"/>
      <c r="L86" s="55"/>
      <c r="M86" s="55" t="b">
        <v>0</v>
      </c>
      <c r="N86" s="55"/>
    </row>
    <row r="87">
      <c r="A87" s="60"/>
      <c r="B87" s="60"/>
      <c r="C87" s="60"/>
      <c r="D87" s="60"/>
      <c r="E87" s="61"/>
      <c r="F87" s="60"/>
      <c r="G87" s="62"/>
      <c r="H87" s="62"/>
      <c r="I87" s="60"/>
      <c r="J87" s="60" t="b">
        <v>0</v>
      </c>
      <c r="K87" s="60"/>
      <c r="L87" s="60"/>
      <c r="M87" s="60" t="b">
        <v>0</v>
      </c>
      <c r="N87" s="60"/>
    </row>
    <row r="88">
      <c r="A88" s="55"/>
      <c r="B88" s="55"/>
      <c r="C88" s="55"/>
      <c r="D88" s="55"/>
      <c r="E88" s="57"/>
      <c r="F88" s="55"/>
      <c r="G88" s="58"/>
      <c r="H88" s="58"/>
      <c r="I88" s="55"/>
      <c r="J88" s="55" t="b">
        <v>0</v>
      </c>
      <c r="K88" s="55"/>
      <c r="L88" s="55"/>
      <c r="M88" s="55" t="b">
        <v>0</v>
      </c>
      <c r="N88" s="55"/>
    </row>
    <row r="89">
      <c r="A89" s="60"/>
      <c r="B89" s="60"/>
      <c r="C89" s="60"/>
      <c r="D89" s="60"/>
      <c r="E89" s="61"/>
      <c r="F89" s="60"/>
      <c r="G89" s="62"/>
      <c r="H89" s="62"/>
      <c r="I89" s="60"/>
      <c r="J89" s="60" t="b">
        <v>0</v>
      </c>
      <c r="K89" s="60"/>
      <c r="L89" s="60"/>
      <c r="M89" s="60" t="b">
        <v>0</v>
      </c>
      <c r="N89" s="60"/>
    </row>
    <row r="90">
      <c r="A90" s="55"/>
      <c r="B90" s="55"/>
      <c r="C90" s="55"/>
      <c r="D90" s="55"/>
      <c r="E90" s="57"/>
      <c r="F90" s="55"/>
      <c r="G90" s="58"/>
      <c r="H90" s="58"/>
      <c r="I90" s="55"/>
      <c r="J90" s="55" t="b">
        <v>0</v>
      </c>
      <c r="K90" s="55"/>
      <c r="L90" s="55"/>
      <c r="M90" s="55" t="b">
        <v>0</v>
      </c>
      <c r="N90" s="55"/>
    </row>
    <row r="91">
      <c r="A91" s="60"/>
      <c r="B91" s="60"/>
      <c r="C91" s="60"/>
      <c r="D91" s="60"/>
      <c r="E91" s="61"/>
      <c r="F91" s="60"/>
      <c r="G91" s="62"/>
      <c r="H91" s="62"/>
      <c r="I91" s="60"/>
      <c r="J91" s="60" t="b">
        <v>0</v>
      </c>
      <c r="K91" s="60"/>
      <c r="L91" s="60"/>
      <c r="M91" s="60" t="b">
        <v>0</v>
      </c>
      <c r="N91" s="60"/>
    </row>
    <row r="92">
      <c r="A92" s="55"/>
      <c r="B92" s="55"/>
      <c r="C92" s="55"/>
      <c r="D92" s="55"/>
      <c r="E92" s="57"/>
      <c r="F92" s="55"/>
      <c r="G92" s="58"/>
      <c r="H92" s="58"/>
      <c r="I92" s="55"/>
      <c r="J92" s="55" t="b">
        <v>0</v>
      </c>
      <c r="K92" s="55"/>
      <c r="L92" s="55"/>
      <c r="M92" s="55" t="b">
        <v>0</v>
      </c>
      <c r="N92" s="55"/>
    </row>
    <row r="93">
      <c r="A93" s="60"/>
      <c r="B93" s="60"/>
      <c r="C93" s="60"/>
      <c r="D93" s="60"/>
      <c r="E93" s="61"/>
      <c r="F93" s="60"/>
      <c r="G93" s="62"/>
      <c r="H93" s="62"/>
      <c r="I93" s="60"/>
      <c r="J93" s="60" t="b">
        <v>0</v>
      </c>
      <c r="K93" s="60"/>
      <c r="L93" s="60"/>
      <c r="M93" s="60" t="b">
        <v>0</v>
      </c>
      <c r="N93" s="60"/>
    </row>
    <row r="94">
      <c r="A94" s="55"/>
      <c r="B94" s="55"/>
      <c r="C94" s="55"/>
      <c r="D94" s="55"/>
      <c r="E94" s="57"/>
      <c r="F94" s="55"/>
      <c r="G94" s="58"/>
      <c r="H94" s="58"/>
      <c r="I94" s="55"/>
      <c r="J94" s="55" t="b">
        <v>0</v>
      </c>
      <c r="K94" s="55"/>
      <c r="L94" s="55"/>
      <c r="M94" s="55" t="b">
        <v>0</v>
      </c>
      <c r="N94" s="55"/>
    </row>
    <row r="95">
      <c r="A95" s="60"/>
      <c r="B95" s="60"/>
      <c r="C95" s="60"/>
      <c r="D95" s="60"/>
      <c r="E95" s="61"/>
      <c r="F95" s="60"/>
      <c r="G95" s="62"/>
      <c r="H95" s="62"/>
      <c r="I95" s="60"/>
      <c r="J95" s="60" t="b">
        <v>0</v>
      </c>
      <c r="K95" s="60"/>
      <c r="L95" s="60"/>
      <c r="M95" s="60" t="b">
        <v>0</v>
      </c>
      <c r="N95" s="60"/>
    </row>
    <row r="96">
      <c r="A96" s="55"/>
      <c r="B96" s="55"/>
      <c r="C96" s="55"/>
      <c r="D96" s="55"/>
      <c r="E96" s="57"/>
      <c r="F96" s="55"/>
      <c r="G96" s="58"/>
      <c r="H96" s="58"/>
      <c r="I96" s="55"/>
      <c r="J96" s="55" t="b">
        <v>0</v>
      </c>
      <c r="K96" s="55"/>
      <c r="L96" s="55"/>
      <c r="M96" s="55" t="b">
        <v>0</v>
      </c>
      <c r="N96" s="55"/>
    </row>
    <row r="97">
      <c r="A97" s="60"/>
      <c r="B97" s="60"/>
      <c r="C97" s="60"/>
      <c r="D97" s="60"/>
      <c r="E97" s="61"/>
      <c r="F97" s="60"/>
      <c r="G97" s="62"/>
      <c r="H97" s="62"/>
      <c r="I97" s="60"/>
      <c r="J97" s="60" t="b">
        <v>0</v>
      </c>
      <c r="K97" s="60"/>
      <c r="L97" s="60"/>
      <c r="M97" s="60" t="b">
        <v>0</v>
      </c>
      <c r="N97" s="60"/>
    </row>
    <row r="98">
      <c r="A98" s="55"/>
      <c r="B98" s="55"/>
      <c r="C98" s="55"/>
      <c r="D98" s="55"/>
      <c r="E98" s="57"/>
      <c r="F98" s="55"/>
      <c r="G98" s="58"/>
      <c r="H98" s="58"/>
      <c r="I98" s="55"/>
      <c r="J98" s="55" t="b">
        <v>0</v>
      </c>
      <c r="K98" s="55"/>
      <c r="L98" s="55"/>
      <c r="M98" s="55" t="b">
        <v>0</v>
      </c>
      <c r="N98" s="55"/>
    </row>
    <row r="99">
      <c r="A99" s="60"/>
      <c r="B99" s="60"/>
      <c r="C99" s="60"/>
      <c r="D99" s="60"/>
      <c r="E99" s="61"/>
      <c r="F99" s="60"/>
      <c r="G99" s="62"/>
      <c r="H99" s="62"/>
      <c r="I99" s="60"/>
      <c r="J99" s="60" t="b">
        <v>0</v>
      </c>
      <c r="K99" s="60"/>
      <c r="L99" s="60"/>
      <c r="M99" s="60" t="b">
        <v>0</v>
      </c>
      <c r="N99" s="60"/>
    </row>
    <row r="100">
      <c r="A100" s="55"/>
      <c r="B100" s="55"/>
      <c r="C100" s="55"/>
      <c r="D100" s="55"/>
      <c r="E100" s="57"/>
      <c r="F100" s="55"/>
      <c r="G100" s="58"/>
      <c r="H100" s="58"/>
      <c r="I100" s="55"/>
      <c r="J100" s="55" t="b">
        <v>0</v>
      </c>
      <c r="K100" s="55"/>
      <c r="L100" s="55"/>
      <c r="M100" s="55" t="b">
        <v>0</v>
      </c>
      <c r="N100" s="55"/>
    </row>
    <row r="101">
      <c r="A101" s="60"/>
      <c r="B101" s="60"/>
      <c r="C101" s="60"/>
      <c r="D101" s="60"/>
      <c r="E101" s="61"/>
      <c r="F101" s="60"/>
      <c r="G101" s="62"/>
      <c r="H101" s="62"/>
      <c r="I101" s="60"/>
      <c r="J101" s="60" t="b">
        <v>0</v>
      </c>
      <c r="K101" s="60"/>
      <c r="L101" s="60"/>
      <c r="M101" s="60" t="b">
        <v>0</v>
      </c>
      <c r="N101" s="60"/>
    </row>
    <row r="102">
      <c r="A102" s="55"/>
      <c r="B102" s="55"/>
      <c r="C102" s="55"/>
      <c r="D102" s="55"/>
      <c r="E102" s="57"/>
      <c r="F102" s="55"/>
      <c r="G102" s="58"/>
      <c r="H102" s="58"/>
      <c r="I102" s="55"/>
      <c r="J102" s="55" t="b">
        <v>0</v>
      </c>
      <c r="K102" s="55"/>
      <c r="L102" s="55"/>
      <c r="M102" s="55" t="b">
        <v>0</v>
      </c>
      <c r="N102" s="55"/>
    </row>
    <row r="103">
      <c r="A103" s="60"/>
      <c r="B103" s="60"/>
      <c r="C103" s="60"/>
      <c r="D103" s="60"/>
      <c r="E103" s="61"/>
      <c r="F103" s="60"/>
      <c r="G103" s="62"/>
      <c r="H103" s="62"/>
      <c r="I103" s="60"/>
      <c r="J103" s="60" t="b">
        <v>0</v>
      </c>
      <c r="K103" s="60"/>
      <c r="L103" s="60"/>
      <c r="M103" s="60" t="b">
        <v>0</v>
      </c>
      <c r="N103" s="60"/>
    </row>
    <row r="104">
      <c r="A104" s="55"/>
      <c r="B104" s="55"/>
      <c r="C104" s="55"/>
      <c r="D104" s="55"/>
      <c r="E104" s="57"/>
      <c r="F104" s="55"/>
      <c r="G104" s="58"/>
      <c r="H104" s="58"/>
      <c r="I104" s="55"/>
      <c r="J104" s="55" t="b">
        <v>0</v>
      </c>
      <c r="K104" s="55"/>
      <c r="L104" s="55"/>
      <c r="M104" s="55" t="b">
        <v>0</v>
      </c>
      <c r="N104" s="55"/>
    </row>
    <row r="105">
      <c r="A105" s="60"/>
      <c r="B105" s="60"/>
      <c r="C105" s="60"/>
      <c r="D105" s="60"/>
      <c r="E105" s="61"/>
      <c r="F105" s="60"/>
      <c r="G105" s="62"/>
      <c r="H105" s="62"/>
      <c r="I105" s="60"/>
      <c r="J105" s="60" t="b">
        <v>0</v>
      </c>
      <c r="K105" s="60"/>
      <c r="L105" s="60"/>
      <c r="M105" s="60" t="b">
        <v>0</v>
      </c>
      <c r="N105" s="60"/>
    </row>
    <row r="106">
      <c r="A106" s="55"/>
      <c r="B106" s="55"/>
      <c r="C106" s="55"/>
      <c r="D106" s="55"/>
      <c r="E106" s="57"/>
      <c r="F106" s="55"/>
      <c r="G106" s="58"/>
      <c r="H106" s="58"/>
      <c r="I106" s="55"/>
      <c r="J106" s="55" t="b">
        <v>0</v>
      </c>
      <c r="K106" s="55"/>
      <c r="L106" s="55"/>
      <c r="M106" s="55" t="b">
        <v>0</v>
      </c>
      <c r="N106" s="55"/>
    </row>
    <row r="107">
      <c r="A107" s="60"/>
      <c r="B107" s="60"/>
      <c r="C107" s="60"/>
      <c r="D107" s="60"/>
      <c r="E107" s="61"/>
      <c r="F107" s="60"/>
      <c r="G107" s="62"/>
      <c r="H107" s="62"/>
      <c r="I107" s="60"/>
      <c r="J107" s="60" t="b">
        <v>0</v>
      </c>
      <c r="K107" s="60"/>
      <c r="L107" s="60"/>
      <c r="M107" s="60" t="b">
        <v>0</v>
      </c>
      <c r="N107" s="60"/>
    </row>
    <row r="108">
      <c r="A108" s="55"/>
      <c r="B108" s="55"/>
      <c r="C108" s="55"/>
      <c r="D108" s="55"/>
      <c r="E108" s="57"/>
      <c r="F108" s="55"/>
      <c r="G108" s="58"/>
      <c r="H108" s="58"/>
      <c r="I108" s="55"/>
      <c r="J108" s="55" t="b">
        <v>0</v>
      </c>
      <c r="K108" s="55"/>
      <c r="L108" s="55"/>
      <c r="M108" s="55" t="b">
        <v>0</v>
      </c>
      <c r="N108" s="55"/>
    </row>
    <row r="109">
      <c r="A109" s="60"/>
      <c r="B109" s="60"/>
      <c r="C109" s="60"/>
      <c r="D109" s="60"/>
      <c r="E109" s="61"/>
      <c r="F109" s="60"/>
      <c r="G109" s="62"/>
      <c r="H109" s="62"/>
      <c r="I109" s="60"/>
      <c r="J109" s="60" t="b">
        <v>0</v>
      </c>
      <c r="K109" s="60"/>
      <c r="L109" s="60"/>
      <c r="M109" s="60" t="b">
        <v>0</v>
      </c>
      <c r="N109" s="60"/>
    </row>
    <row r="110">
      <c r="A110" s="55"/>
      <c r="B110" s="55"/>
      <c r="C110" s="55"/>
      <c r="D110" s="55"/>
      <c r="E110" s="57"/>
      <c r="F110" s="55"/>
      <c r="G110" s="58"/>
      <c r="H110" s="58"/>
      <c r="I110" s="55"/>
      <c r="J110" s="55" t="b">
        <v>0</v>
      </c>
      <c r="K110" s="55"/>
      <c r="L110" s="55"/>
      <c r="M110" s="55" t="b">
        <v>0</v>
      </c>
      <c r="N110" s="55"/>
    </row>
    <row r="111">
      <c r="A111" s="60"/>
      <c r="B111" s="60"/>
      <c r="C111" s="60"/>
      <c r="D111" s="60"/>
      <c r="E111" s="61"/>
      <c r="F111" s="60"/>
      <c r="G111" s="62"/>
      <c r="H111" s="62"/>
      <c r="I111" s="60"/>
      <c r="J111" s="60" t="b">
        <v>0</v>
      </c>
      <c r="K111" s="60"/>
      <c r="L111" s="60"/>
      <c r="M111" s="60" t="b">
        <v>0</v>
      </c>
      <c r="N111" s="60"/>
    </row>
    <row r="112">
      <c r="A112" s="55"/>
      <c r="B112" s="55"/>
      <c r="C112" s="55"/>
      <c r="D112" s="55"/>
      <c r="E112" s="57"/>
      <c r="F112" s="55"/>
      <c r="G112" s="58"/>
      <c r="H112" s="58"/>
      <c r="I112" s="55"/>
      <c r="J112" s="55" t="b">
        <v>0</v>
      </c>
      <c r="K112" s="55"/>
      <c r="L112" s="55"/>
      <c r="M112" s="55" t="b">
        <v>0</v>
      </c>
      <c r="N112" s="55"/>
    </row>
    <row r="113">
      <c r="A113" s="60"/>
      <c r="B113" s="60"/>
      <c r="C113" s="60"/>
      <c r="D113" s="60"/>
      <c r="E113" s="61"/>
      <c r="F113" s="60"/>
      <c r="G113" s="62"/>
      <c r="H113" s="62"/>
      <c r="I113" s="60"/>
      <c r="J113" s="60" t="b">
        <v>0</v>
      </c>
      <c r="K113" s="60"/>
      <c r="L113" s="60"/>
      <c r="M113" s="60" t="b">
        <v>0</v>
      </c>
      <c r="N113" s="60"/>
    </row>
    <row r="114">
      <c r="A114" s="55"/>
      <c r="B114" s="55"/>
      <c r="C114" s="55"/>
      <c r="D114" s="55"/>
      <c r="E114" s="57"/>
      <c r="F114" s="55"/>
      <c r="G114" s="58"/>
      <c r="H114" s="58"/>
      <c r="I114" s="55"/>
      <c r="J114" s="55" t="b">
        <v>0</v>
      </c>
      <c r="K114" s="55"/>
      <c r="L114" s="55"/>
      <c r="M114" s="55" t="b">
        <v>0</v>
      </c>
      <c r="N114" s="55"/>
    </row>
    <row r="115">
      <c r="A115" s="60"/>
      <c r="B115" s="60"/>
      <c r="C115" s="60"/>
      <c r="D115" s="60"/>
      <c r="E115" s="61"/>
      <c r="F115" s="60"/>
      <c r="G115" s="62"/>
      <c r="H115" s="62"/>
      <c r="I115" s="60"/>
      <c r="J115" s="60" t="b">
        <v>0</v>
      </c>
      <c r="K115" s="60"/>
      <c r="L115" s="60"/>
      <c r="M115" s="60" t="b">
        <v>0</v>
      </c>
      <c r="N115" s="60"/>
    </row>
    <row r="116">
      <c r="A116" s="55"/>
      <c r="B116" s="55"/>
      <c r="C116" s="55"/>
      <c r="D116" s="55"/>
      <c r="E116" s="57"/>
      <c r="F116" s="55"/>
      <c r="G116" s="58"/>
      <c r="H116" s="58"/>
      <c r="I116" s="55"/>
      <c r="J116" s="55" t="b">
        <v>0</v>
      </c>
      <c r="K116" s="55"/>
      <c r="L116" s="55"/>
      <c r="M116" s="55" t="b">
        <v>0</v>
      </c>
      <c r="N116" s="55"/>
    </row>
    <row r="117">
      <c r="A117" s="60"/>
      <c r="B117" s="60"/>
      <c r="C117" s="60"/>
      <c r="D117" s="60"/>
      <c r="E117" s="61"/>
      <c r="F117" s="60"/>
      <c r="G117" s="62"/>
      <c r="H117" s="62"/>
      <c r="I117" s="60"/>
      <c r="J117" s="60" t="b">
        <v>0</v>
      </c>
      <c r="K117" s="60"/>
      <c r="L117" s="60"/>
      <c r="M117" s="60" t="b">
        <v>0</v>
      </c>
      <c r="N117" s="60"/>
    </row>
    <row r="118">
      <c r="A118" s="55"/>
      <c r="B118" s="55"/>
      <c r="C118" s="55"/>
      <c r="D118" s="55"/>
      <c r="E118" s="57"/>
      <c r="F118" s="55"/>
      <c r="G118" s="58"/>
      <c r="H118" s="58"/>
      <c r="I118" s="55"/>
      <c r="J118" s="55" t="b">
        <v>0</v>
      </c>
      <c r="K118" s="55"/>
      <c r="L118" s="55"/>
      <c r="M118" s="55" t="b">
        <v>0</v>
      </c>
      <c r="N118" s="55"/>
    </row>
    <row r="119">
      <c r="A119" s="60"/>
      <c r="B119" s="60"/>
      <c r="C119" s="60"/>
      <c r="D119" s="60"/>
      <c r="E119" s="61"/>
      <c r="F119" s="60"/>
      <c r="G119" s="62"/>
      <c r="H119" s="62"/>
      <c r="I119" s="60"/>
      <c r="J119" s="60" t="b">
        <v>0</v>
      </c>
      <c r="K119" s="60"/>
      <c r="L119" s="60"/>
      <c r="M119" s="60" t="b">
        <v>0</v>
      </c>
      <c r="N119" s="60"/>
    </row>
    <row r="120">
      <c r="A120" s="55"/>
      <c r="B120" s="55"/>
      <c r="C120" s="55"/>
      <c r="D120" s="55"/>
      <c r="E120" s="57"/>
      <c r="F120" s="55"/>
      <c r="G120" s="58"/>
      <c r="H120" s="58"/>
      <c r="I120" s="55"/>
      <c r="J120" s="55" t="b">
        <v>0</v>
      </c>
      <c r="K120" s="55"/>
      <c r="L120" s="55"/>
      <c r="M120" s="55" t="b">
        <v>0</v>
      </c>
      <c r="N120" s="55"/>
    </row>
    <row r="121">
      <c r="A121" s="60"/>
      <c r="B121" s="60"/>
      <c r="C121" s="60"/>
      <c r="D121" s="60"/>
      <c r="E121" s="61"/>
      <c r="F121" s="60"/>
      <c r="G121" s="62"/>
      <c r="H121" s="62"/>
      <c r="I121" s="60"/>
      <c r="J121" s="60" t="b">
        <v>0</v>
      </c>
      <c r="K121" s="60"/>
      <c r="L121" s="60"/>
      <c r="M121" s="60" t="b">
        <v>0</v>
      </c>
      <c r="N121" s="60"/>
    </row>
    <row r="122">
      <c r="A122" s="55"/>
      <c r="B122" s="55"/>
      <c r="C122" s="55"/>
      <c r="D122" s="55"/>
      <c r="E122" s="57"/>
      <c r="F122" s="55"/>
      <c r="G122" s="58"/>
      <c r="H122" s="58"/>
      <c r="I122" s="55"/>
      <c r="J122" s="55" t="b">
        <v>0</v>
      </c>
      <c r="K122" s="55"/>
      <c r="L122" s="55"/>
      <c r="M122" s="55" t="b">
        <v>0</v>
      </c>
      <c r="N122" s="55"/>
    </row>
    <row r="123">
      <c r="A123" s="60"/>
      <c r="B123" s="60"/>
      <c r="C123" s="60"/>
      <c r="D123" s="60"/>
      <c r="E123" s="61"/>
      <c r="F123" s="60"/>
      <c r="G123" s="62"/>
      <c r="H123" s="62"/>
      <c r="I123" s="60"/>
      <c r="J123" s="60" t="b">
        <v>0</v>
      </c>
      <c r="K123" s="60"/>
      <c r="L123" s="60"/>
      <c r="M123" s="60" t="b">
        <v>0</v>
      </c>
      <c r="N123" s="60"/>
    </row>
    <row r="124">
      <c r="A124" s="55"/>
      <c r="B124" s="55"/>
      <c r="C124" s="55"/>
      <c r="D124" s="55"/>
      <c r="E124" s="57"/>
      <c r="F124" s="55"/>
      <c r="G124" s="58"/>
      <c r="H124" s="58"/>
      <c r="I124" s="55"/>
      <c r="J124" s="55" t="b">
        <v>0</v>
      </c>
      <c r="K124" s="55"/>
      <c r="L124" s="55"/>
      <c r="M124" s="55" t="b">
        <v>0</v>
      </c>
      <c r="N124" s="55"/>
    </row>
    <row r="125">
      <c r="A125" s="60"/>
      <c r="B125" s="60"/>
      <c r="C125" s="60"/>
      <c r="D125" s="60"/>
      <c r="E125" s="61"/>
      <c r="F125" s="60"/>
      <c r="G125" s="62"/>
      <c r="H125" s="62"/>
      <c r="I125" s="60"/>
      <c r="J125" s="60" t="b">
        <v>0</v>
      </c>
      <c r="K125" s="60"/>
      <c r="L125" s="60"/>
      <c r="M125" s="60" t="b">
        <v>0</v>
      </c>
      <c r="N125" s="60"/>
    </row>
    <row r="126">
      <c r="A126" s="55"/>
      <c r="B126" s="55"/>
      <c r="C126" s="55"/>
      <c r="D126" s="55"/>
      <c r="E126" s="57"/>
      <c r="F126" s="55"/>
      <c r="G126" s="58"/>
      <c r="H126" s="58"/>
      <c r="I126" s="55"/>
      <c r="J126" s="55" t="b">
        <v>0</v>
      </c>
      <c r="K126" s="55"/>
      <c r="L126" s="55"/>
      <c r="M126" s="55" t="b">
        <v>0</v>
      </c>
      <c r="N126" s="55"/>
    </row>
    <row r="127">
      <c r="A127" s="60"/>
      <c r="B127" s="60"/>
      <c r="C127" s="60"/>
      <c r="D127" s="60"/>
      <c r="E127" s="61"/>
      <c r="F127" s="60"/>
      <c r="G127" s="62"/>
      <c r="H127" s="62"/>
      <c r="I127" s="60"/>
      <c r="J127" s="60" t="b">
        <v>0</v>
      </c>
      <c r="K127" s="60"/>
      <c r="L127" s="60"/>
      <c r="M127" s="60" t="b">
        <v>0</v>
      </c>
      <c r="N127" s="60"/>
    </row>
    <row r="128">
      <c r="A128" s="55"/>
      <c r="B128" s="55"/>
      <c r="C128" s="55"/>
      <c r="D128" s="55"/>
      <c r="E128" s="57"/>
      <c r="F128" s="55"/>
      <c r="G128" s="58"/>
      <c r="H128" s="58"/>
      <c r="I128" s="55"/>
      <c r="J128" s="55" t="b">
        <v>0</v>
      </c>
      <c r="K128" s="55"/>
      <c r="L128" s="55"/>
      <c r="M128" s="55" t="b">
        <v>0</v>
      </c>
      <c r="N128" s="55"/>
    </row>
    <row r="129">
      <c r="A129" s="60"/>
      <c r="B129" s="60"/>
      <c r="C129" s="60"/>
      <c r="D129" s="60"/>
      <c r="E129" s="61"/>
      <c r="F129" s="60"/>
      <c r="G129" s="62"/>
      <c r="H129" s="62"/>
      <c r="I129" s="60"/>
      <c r="J129" s="60" t="b">
        <v>0</v>
      </c>
      <c r="K129" s="60"/>
      <c r="L129" s="60"/>
      <c r="M129" s="60" t="b">
        <v>0</v>
      </c>
      <c r="N129" s="60"/>
    </row>
    <row r="130">
      <c r="A130" s="55"/>
      <c r="B130" s="55"/>
      <c r="C130" s="55"/>
      <c r="D130" s="55"/>
      <c r="E130" s="57"/>
      <c r="F130" s="55"/>
      <c r="G130" s="58"/>
      <c r="H130" s="58"/>
      <c r="I130" s="55"/>
      <c r="J130" s="55" t="b">
        <v>0</v>
      </c>
      <c r="K130" s="55"/>
      <c r="L130" s="55"/>
      <c r="M130" s="55" t="b">
        <v>0</v>
      </c>
      <c r="N130" s="55"/>
    </row>
    <row r="131">
      <c r="A131" s="60"/>
      <c r="B131" s="60"/>
      <c r="C131" s="60"/>
      <c r="D131" s="60"/>
      <c r="E131" s="61"/>
      <c r="F131" s="60"/>
      <c r="G131" s="62"/>
      <c r="H131" s="62"/>
      <c r="I131" s="60"/>
      <c r="J131" s="60" t="b">
        <v>0</v>
      </c>
      <c r="K131" s="60"/>
      <c r="L131" s="60"/>
      <c r="M131" s="60" t="b">
        <v>0</v>
      </c>
      <c r="N131" s="60"/>
    </row>
    <row r="132">
      <c r="A132" s="55"/>
      <c r="B132" s="55"/>
      <c r="C132" s="55"/>
      <c r="D132" s="55"/>
      <c r="E132" s="57"/>
      <c r="F132" s="55"/>
      <c r="G132" s="58"/>
      <c r="H132" s="58"/>
      <c r="I132" s="55"/>
      <c r="J132" s="55" t="b">
        <v>0</v>
      </c>
      <c r="K132" s="55"/>
      <c r="L132" s="55"/>
      <c r="M132" s="55" t="b">
        <v>0</v>
      </c>
      <c r="N132" s="55"/>
    </row>
    <row r="133">
      <c r="A133" s="60"/>
      <c r="B133" s="60"/>
      <c r="C133" s="60"/>
      <c r="D133" s="60"/>
      <c r="E133" s="61"/>
      <c r="F133" s="60"/>
      <c r="G133" s="62"/>
      <c r="H133" s="62"/>
      <c r="I133" s="60"/>
      <c r="J133" s="60" t="b">
        <v>0</v>
      </c>
      <c r="K133" s="60"/>
      <c r="L133" s="60"/>
      <c r="M133" s="60" t="b">
        <v>0</v>
      </c>
      <c r="N133" s="60"/>
    </row>
    <row r="134">
      <c r="A134" s="55"/>
      <c r="B134" s="55"/>
      <c r="C134" s="55"/>
      <c r="D134" s="55"/>
      <c r="E134" s="57"/>
      <c r="F134" s="55"/>
      <c r="G134" s="58"/>
      <c r="H134" s="58"/>
      <c r="I134" s="55"/>
      <c r="J134" s="55" t="b">
        <v>0</v>
      </c>
      <c r="K134" s="55"/>
      <c r="L134" s="55"/>
      <c r="M134" s="55" t="b">
        <v>0</v>
      </c>
      <c r="N134" s="55"/>
    </row>
    <row r="135">
      <c r="A135" s="60"/>
      <c r="B135" s="60"/>
      <c r="C135" s="60"/>
      <c r="D135" s="60"/>
      <c r="E135" s="61"/>
      <c r="F135" s="60"/>
      <c r="G135" s="62"/>
      <c r="H135" s="62"/>
      <c r="I135" s="60"/>
      <c r="J135" s="60" t="b">
        <v>0</v>
      </c>
      <c r="K135" s="60"/>
      <c r="L135" s="60"/>
      <c r="M135" s="60" t="b">
        <v>0</v>
      </c>
      <c r="N135" s="60"/>
    </row>
    <row r="136">
      <c r="A136" s="55"/>
      <c r="B136" s="55"/>
      <c r="C136" s="55"/>
      <c r="D136" s="55"/>
      <c r="E136" s="57"/>
      <c r="F136" s="55"/>
      <c r="G136" s="58"/>
      <c r="H136" s="58"/>
      <c r="I136" s="55"/>
      <c r="J136" s="55" t="b">
        <v>0</v>
      </c>
      <c r="K136" s="55"/>
      <c r="L136" s="55"/>
      <c r="M136" s="55" t="b">
        <v>0</v>
      </c>
      <c r="N136" s="55"/>
    </row>
    <row r="137">
      <c r="A137" s="60"/>
      <c r="B137" s="60"/>
      <c r="C137" s="60"/>
      <c r="D137" s="60"/>
      <c r="E137" s="61"/>
      <c r="F137" s="60"/>
      <c r="G137" s="62"/>
      <c r="H137" s="62"/>
      <c r="I137" s="60"/>
      <c r="J137" s="60" t="b">
        <v>0</v>
      </c>
      <c r="K137" s="60"/>
      <c r="L137" s="60"/>
      <c r="M137" s="60" t="b">
        <v>0</v>
      </c>
      <c r="N137" s="60"/>
    </row>
    <row r="138">
      <c r="A138" s="55"/>
      <c r="B138" s="55"/>
      <c r="C138" s="55"/>
      <c r="D138" s="55"/>
      <c r="E138" s="57"/>
      <c r="F138" s="55"/>
      <c r="G138" s="58"/>
      <c r="H138" s="58"/>
      <c r="I138" s="55"/>
      <c r="J138" s="55" t="b">
        <v>0</v>
      </c>
      <c r="K138" s="55"/>
      <c r="L138" s="55"/>
      <c r="M138" s="55" t="b">
        <v>0</v>
      </c>
      <c r="N138" s="55"/>
    </row>
    <row r="139">
      <c r="A139" s="60"/>
      <c r="B139" s="60"/>
      <c r="C139" s="60"/>
      <c r="D139" s="60"/>
      <c r="E139" s="61"/>
      <c r="F139" s="60"/>
      <c r="G139" s="62"/>
      <c r="H139" s="62"/>
      <c r="I139" s="60"/>
      <c r="J139" s="60" t="b">
        <v>0</v>
      </c>
      <c r="K139" s="60"/>
      <c r="L139" s="60"/>
      <c r="M139" s="60" t="b">
        <v>0</v>
      </c>
      <c r="N139" s="60"/>
    </row>
    <row r="140">
      <c r="A140" s="55"/>
      <c r="B140" s="55"/>
      <c r="C140" s="55"/>
      <c r="D140" s="55"/>
      <c r="E140" s="57"/>
      <c r="F140" s="55"/>
      <c r="G140" s="58"/>
      <c r="H140" s="58"/>
      <c r="I140" s="55"/>
      <c r="J140" s="55" t="b">
        <v>0</v>
      </c>
      <c r="K140" s="55"/>
      <c r="L140" s="55"/>
      <c r="M140" s="55" t="b">
        <v>0</v>
      </c>
      <c r="N140" s="55"/>
    </row>
    <row r="141">
      <c r="A141" s="60"/>
      <c r="B141" s="60"/>
      <c r="C141" s="60"/>
      <c r="D141" s="60"/>
      <c r="E141" s="61"/>
      <c r="F141" s="60"/>
      <c r="G141" s="62"/>
      <c r="H141" s="62"/>
      <c r="I141" s="60"/>
      <c r="J141" s="60" t="b">
        <v>0</v>
      </c>
      <c r="K141" s="60"/>
      <c r="L141" s="60"/>
      <c r="M141" s="60" t="b">
        <v>0</v>
      </c>
      <c r="N141" s="60"/>
    </row>
    <row r="142">
      <c r="A142" s="55"/>
      <c r="B142" s="55"/>
      <c r="C142" s="55"/>
      <c r="D142" s="55"/>
      <c r="E142" s="57"/>
      <c r="F142" s="55"/>
      <c r="G142" s="58"/>
      <c r="H142" s="58"/>
      <c r="I142" s="55"/>
      <c r="J142" s="55" t="b">
        <v>0</v>
      </c>
      <c r="K142" s="55"/>
      <c r="L142" s="55"/>
      <c r="M142" s="55" t="b">
        <v>0</v>
      </c>
      <c r="N142" s="55"/>
    </row>
    <row r="143">
      <c r="A143" s="60"/>
      <c r="B143" s="60"/>
      <c r="C143" s="60"/>
      <c r="D143" s="60"/>
      <c r="E143" s="61"/>
      <c r="F143" s="60"/>
      <c r="G143" s="62"/>
      <c r="H143" s="62"/>
      <c r="I143" s="60"/>
      <c r="J143" s="60" t="b">
        <v>0</v>
      </c>
      <c r="K143" s="60"/>
      <c r="L143" s="60"/>
      <c r="M143" s="60" t="b">
        <v>0</v>
      </c>
      <c r="N143" s="60"/>
    </row>
    <row r="144">
      <c r="A144" s="55"/>
      <c r="B144" s="55"/>
      <c r="C144" s="55"/>
      <c r="D144" s="55"/>
      <c r="E144" s="57"/>
      <c r="F144" s="55"/>
      <c r="G144" s="58"/>
      <c r="H144" s="58"/>
      <c r="I144" s="55"/>
      <c r="J144" s="55" t="b">
        <v>0</v>
      </c>
      <c r="K144" s="55"/>
      <c r="L144" s="55"/>
      <c r="M144" s="55" t="b">
        <v>0</v>
      </c>
      <c r="N144" s="55"/>
    </row>
    <row r="145">
      <c r="A145" s="60"/>
      <c r="B145" s="60"/>
      <c r="C145" s="60"/>
      <c r="D145" s="60"/>
      <c r="E145" s="61"/>
      <c r="F145" s="60"/>
      <c r="G145" s="62"/>
      <c r="H145" s="62"/>
      <c r="I145" s="60"/>
      <c r="J145" s="60" t="b">
        <v>0</v>
      </c>
      <c r="K145" s="60"/>
      <c r="L145" s="60"/>
      <c r="M145" s="60" t="b">
        <v>0</v>
      </c>
      <c r="N145" s="60"/>
    </row>
    <row r="146">
      <c r="A146" s="55"/>
      <c r="B146" s="55"/>
      <c r="C146" s="55"/>
      <c r="D146" s="55"/>
      <c r="E146" s="57"/>
      <c r="F146" s="55"/>
      <c r="G146" s="58"/>
      <c r="H146" s="58"/>
      <c r="I146" s="55"/>
      <c r="J146" s="55" t="b">
        <v>0</v>
      </c>
      <c r="K146" s="55"/>
      <c r="L146" s="55"/>
      <c r="M146" s="55" t="b">
        <v>0</v>
      </c>
      <c r="N146" s="55"/>
    </row>
    <row r="147">
      <c r="A147" s="60"/>
      <c r="B147" s="60"/>
      <c r="C147" s="60"/>
      <c r="D147" s="60"/>
      <c r="E147" s="61"/>
      <c r="F147" s="60"/>
      <c r="G147" s="62"/>
      <c r="H147" s="62"/>
      <c r="I147" s="60"/>
      <c r="J147" s="60" t="b">
        <v>0</v>
      </c>
      <c r="K147" s="60"/>
      <c r="L147" s="60"/>
      <c r="M147" s="60" t="b">
        <v>0</v>
      </c>
      <c r="N147" s="60"/>
    </row>
    <row r="148">
      <c r="A148" s="55"/>
      <c r="B148" s="55"/>
      <c r="C148" s="55"/>
      <c r="D148" s="55"/>
      <c r="E148" s="57"/>
      <c r="F148" s="55"/>
      <c r="G148" s="58"/>
      <c r="H148" s="58"/>
      <c r="I148" s="55"/>
      <c r="J148" s="55" t="b">
        <v>0</v>
      </c>
      <c r="K148" s="55"/>
      <c r="L148" s="55"/>
      <c r="M148" s="55" t="b">
        <v>0</v>
      </c>
      <c r="N148" s="55"/>
    </row>
    <row r="149">
      <c r="A149" s="60"/>
      <c r="B149" s="60"/>
      <c r="C149" s="60"/>
      <c r="D149" s="60"/>
      <c r="E149" s="61"/>
      <c r="F149" s="60"/>
      <c r="G149" s="62"/>
      <c r="H149" s="62"/>
      <c r="I149" s="60"/>
      <c r="J149" s="60" t="b">
        <v>0</v>
      </c>
      <c r="K149" s="60"/>
      <c r="L149" s="60"/>
      <c r="M149" s="60" t="b">
        <v>0</v>
      </c>
      <c r="N149" s="60"/>
    </row>
    <row r="150">
      <c r="A150" s="55"/>
      <c r="B150" s="55"/>
      <c r="C150" s="55"/>
      <c r="D150" s="55"/>
      <c r="E150" s="57"/>
      <c r="F150" s="55"/>
      <c r="G150" s="58"/>
      <c r="H150" s="58"/>
      <c r="I150" s="55"/>
      <c r="J150" s="55" t="b">
        <v>0</v>
      </c>
      <c r="K150" s="55"/>
      <c r="L150" s="55"/>
      <c r="M150" s="55" t="b">
        <v>0</v>
      </c>
      <c r="N150" s="55"/>
    </row>
    <row r="151">
      <c r="A151" s="60"/>
      <c r="B151" s="60"/>
      <c r="C151" s="60"/>
      <c r="D151" s="60"/>
      <c r="E151" s="61"/>
      <c r="F151" s="60"/>
      <c r="G151" s="62"/>
      <c r="H151" s="62"/>
      <c r="I151" s="60"/>
      <c r="J151" s="60" t="b">
        <v>0</v>
      </c>
      <c r="K151" s="60"/>
      <c r="L151" s="60"/>
      <c r="M151" s="60" t="b">
        <v>0</v>
      </c>
      <c r="N151" s="60"/>
    </row>
    <row r="152">
      <c r="A152" s="55"/>
      <c r="B152" s="55"/>
      <c r="C152" s="55"/>
      <c r="D152" s="55"/>
      <c r="E152" s="57"/>
      <c r="F152" s="55"/>
      <c r="G152" s="58"/>
      <c r="H152" s="58"/>
      <c r="I152" s="55"/>
      <c r="J152" s="55" t="b">
        <v>0</v>
      </c>
      <c r="K152" s="55"/>
      <c r="L152" s="55"/>
      <c r="M152" s="55" t="b">
        <v>0</v>
      </c>
      <c r="N152" s="55"/>
    </row>
    <row r="153">
      <c r="A153" s="60"/>
      <c r="B153" s="60"/>
      <c r="C153" s="60"/>
      <c r="D153" s="60"/>
      <c r="E153" s="61"/>
      <c r="F153" s="60"/>
      <c r="G153" s="62"/>
      <c r="H153" s="62"/>
      <c r="I153" s="60"/>
      <c r="J153" s="60" t="b">
        <v>0</v>
      </c>
      <c r="K153" s="60"/>
      <c r="L153" s="60"/>
      <c r="M153" s="60" t="b">
        <v>0</v>
      </c>
      <c r="N153" s="60"/>
    </row>
    <row r="154">
      <c r="A154" s="55"/>
      <c r="B154" s="55"/>
      <c r="C154" s="55"/>
      <c r="D154" s="55"/>
      <c r="E154" s="57"/>
      <c r="F154" s="55"/>
      <c r="G154" s="58"/>
      <c r="H154" s="58"/>
      <c r="I154" s="55"/>
      <c r="J154" s="55" t="b">
        <v>0</v>
      </c>
      <c r="K154" s="55"/>
      <c r="L154" s="55"/>
      <c r="M154" s="55" t="b">
        <v>0</v>
      </c>
      <c r="N154" s="55"/>
    </row>
    <row r="155">
      <c r="A155" s="60"/>
      <c r="B155" s="60"/>
      <c r="C155" s="60"/>
      <c r="D155" s="60"/>
      <c r="E155" s="61"/>
      <c r="F155" s="60"/>
      <c r="G155" s="62"/>
      <c r="H155" s="62"/>
      <c r="I155" s="60"/>
      <c r="J155" s="60" t="b">
        <v>0</v>
      </c>
      <c r="K155" s="60"/>
      <c r="L155" s="60"/>
      <c r="M155" s="60" t="b">
        <v>0</v>
      </c>
      <c r="N155" s="60"/>
    </row>
    <row r="156">
      <c r="A156" s="55"/>
      <c r="B156" s="55"/>
      <c r="C156" s="55"/>
      <c r="D156" s="55"/>
      <c r="E156" s="57"/>
      <c r="F156" s="55"/>
      <c r="G156" s="58"/>
      <c r="H156" s="58"/>
      <c r="I156" s="55"/>
      <c r="J156" s="55" t="b">
        <v>0</v>
      </c>
      <c r="K156" s="55"/>
      <c r="L156" s="55"/>
      <c r="M156" s="55" t="b">
        <v>0</v>
      </c>
      <c r="N156" s="55"/>
    </row>
    <row r="157">
      <c r="A157" s="60"/>
      <c r="B157" s="60"/>
      <c r="C157" s="60"/>
      <c r="D157" s="60"/>
      <c r="E157" s="61"/>
      <c r="F157" s="60"/>
      <c r="G157" s="62"/>
      <c r="H157" s="62"/>
      <c r="I157" s="60"/>
      <c r="J157" s="60" t="b">
        <v>0</v>
      </c>
      <c r="K157" s="60"/>
      <c r="L157" s="60"/>
      <c r="M157" s="60" t="b">
        <v>0</v>
      </c>
      <c r="N157" s="60"/>
    </row>
    <row r="158">
      <c r="A158" s="55"/>
      <c r="B158" s="55"/>
      <c r="C158" s="55"/>
      <c r="D158" s="55"/>
      <c r="E158" s="57"/>
      <c r="F158" s="55"/>
      <c r="G158" s="58"/>
      <c r="H158" s="58"/>
      <c r="I158" s="55"/>
      <c r="J158" s="55" t="b">
        <v>0</v>
      </c>
      <c r="K158" s="55"/>
      <c r="L158" s="55"/>
      <c r="M158" s="55" t="b">
        <v>0</v>
      </c>
      <c r="N158" s="55"/>
    </row>
    <row r="159">
      <c r="A159" s="60"/>
      <c r="B159" s="60"/>
      <c r="C159" s="60"/>
      <c r="D159" s="60"/>
      <c r="E159" s="61"/>
      <c r="F159" s="60"/>
      <c r="G159" s="62"/>
      <c r="H159" s="62"/>
      <c r="I159" s="60"/>
      <c r="J159" s="60" t="b">
        <v>0</v>
      </c>
      <c r="K159" s="60"/>
      <c r="L159" s="60"/>
      <c r="M159" s="60" t="b">
        <v>0</v>
      </c>
      <c r="N159" s="60"/>
    </row>
    <row r="160">
      <c r="A160" s="55"/>
      <c r="B160" s="55"/>
      <c r="C160" s="55"/>
      <c r="D160" s="55"/>
      <c r="E160" s="57"/>
      <c r="F160" s="55"/>
      <c r="G160" s="58"/>
      <c r="H160" s="58"/>
      <c r="I160" s="55"/>
      <c r="J160" s="55" t="b">
        <v>0</v>
      </c>
      <c r="K160" s="55"/>
      <c r="L160" s="55"/>
      <c r="M160" s="55" t="b">
        <v>0</v>
      </c>
      <c r="N160" s="55"/>
    </row>
    <row r="161">
      <c r="A161" s="60"/>
      <c r="B161" s="60"/>
      <c r="C161" s="60"/>
      <c r="D161" s="60"/>
      <c r="E161" s="61"/>
      <c r="F161" s="60"/>
      <c r="G161" s="62"/>
      <c r="H161" s="62"/>
      <c r="I161" s="60"/>
      <c r="J161" s="60" t="b">
        <v>0</v>
      </c>
      <c r="K161" s="60"/>
      <c r="L161" s="60"/>
      <c r="M161" s="60" t="b">
        <v>0</v>
      </c>
      <c r="N161" s="60"/>
    </row>
    <row r="162">
      <c r="A162" s="55"/>
      <c r="B162" s="55"/>
      <c r="C162" s="55"/>
      <c r="D162" s="55"/>
      <c r="E162" s="57"/>
      <c r="F162" s="55"/>
      <c r="G162" s="58"/>
      <c r="H162" s="58"/>
      <c r="I162" s="55"/>
      <c r="J162" s="55" t="b">
        <v>0</v>
      </c>
      <c r="K162" s="55"/>
      <c r="L162" s="55"/>
      <c r="M162" s="55" t="b">
        <v>0</v>
      </c>
      <c r="N162" s="55"/>
    </row>
    <row r="163">
      <c r="A163" s="60"/>
      <c r="B163" s="60"/>
      <c r="C163" s="60"/>
      <c r="D163" s="60"/>
      <c r="E163" s="61"/>
      <c r="F163" s="60"/>
      <c r="G163" s="62"/>
      <c r="H163" s="62"/>
      <c r="I163" s="60"/>
      <c r="J163" s="60" t="b">
        <v>0</v>
      </c>
      <c r="K163" s="60"/>
      <c r="L163" s="60"/>
      <c r="M163" s="60" t="b">
        <v>0</v>
      </c>
      <c r="N163" s="60"/>
    </row>
    <row r="164">
      <c r="A164" s="55"/>
      <c r="B164" s="55"/>
      <c r="C164" s="55"/>
      <c r="D164" s="55"/>
      <c r="E164" s="57"/>
      <c r="F164" s="55"/>
      <c r="G164" s="58"/>
      <c r="H164" s="58"/>
      <c r="I164" s="55"/>
      <c r="J164" s="55" t="b">
        <v>0</v>
      </c>
      <c r="K164" s="55"/>
      <c r="L164" s="55"/>
      <c r="M164" s="55" t="b">
        <v>0</v>
      </c>
      <c r="N164" s="55"/>
    </row>
    <row r="165">
      <c r="A165" s="60"/>
      <c r="B165" s="60"/>
      <c r="C165" s="60"/>
      <c r="D165" s="60"/>
      <c r="E165" s="61"/>
      <c r="F165" s="60"/>
      <c r="G165" s="62"/>
      <c r="H165" s="62"/>
      <c r="I165" s="60"/>
      <c r="J165" s="60" t="b">
        <v>0</v>
      </c>
      <c r="K165" s="60"/>
      <c r="L165" s="60"/>
      <c r="M165" s="60" t="b">
        <v>0</v>
      </c>
      <c r="N165" s="60"/>
    </row>
    <row r="166">
      <c r="A166" s="55"/>
      <c r="B166" s="55"/>
      <c r="C166" s="55"/>
      <c r="D166" s="55"/>
      <c r="E166" s="57"/>
      <c r="F166" s="55"/>
      <c r="G166" s="58"/>
      <c r="H166" s="58"/>
      <c r="I166" s="55"/>
      <c r="J166" s="55" t="b">
        <v>0</v>
      </c>
      <c r="K166" s="55"/>
      <c r="L166" s="55"/>
      <c r="M166" s="55" t="b">
        <v>0</v>
      </c>
      <c r="N166" s="55"/>
    </row>
    <row r="167">
      <c r="A167" s="60"/>
      <c r="B167" s="60"/>
      <c r="C167" s="60"/>
      <c r="D167" s="60"/>
      <c r="E167" s="61"/>
      <c r="F167" s="60"/>
      <c r="G167" s="62"/>
      <c r="H167" s="62"/>
      <c r="I167" s="60"/>
      <c r="J167" s="60" t="b">
        <v>0</v>
      </c>
      <c r="K167" s="60"/>
      <c r="L167" s="60"/>
      <c r="M167" s="60" t="b">
        <v>0</v>
      </c>
      <c r="N167" s="60"/>
    </row>
    <row r="168">
      <c r="A168" s="55"/>
      <c r="B168" s="55"/>
      <c r="C168" s="55"/>
      <c r="D168" s="55"/>
      <c r="E168" s="57"/>
      <c r="F168" s="55"/>
      <c r="G168" s="58"/>
      <c r="H168" s="58"/>
      <c r="I168" s="55"/>
      <c r="J168" s="55" t="b">
        <v>0</v>
      </c>
      <c r="K168" s="55"/>
      <c r="L168" s="55"/>
      <c r="M168" s="55" t="b">
        <v>0</v>
      </c>
      <c r="N168" s="55"/>
    </row>
    <row r="169">
      <c r="A169" s="60"/>
      <c r="B169" s="60"/>
      <c r="C169" s="60"/>
      <c r="D169" s="60"/>
      <c r="E169" s="61"/>
      <c r="F169" s="60"/>
      <c r="G169" s="62"/>
      <c r="H169" s="62"/>
      <c r="I169" s="60"/>
      <c r="J169" s="60" t="b">
        <v>0</v>
      </c>
      <c r="K169" s="60"/>
      <c r="L169" s="60"/>
      <c r="M169" s="60" t="b">
        <v>0</v>
      </c>
      <c r="N169" s="60"/>
    </row>
    <row r="170">
      <c r="A170" s="55"/>
      <c r="B170" s="55"/>
      <c r="C170" s="55"/>
      <c r="D170" s="55"/>
      <c r="E170" s="57"/>
      <c r="F170" s="55"/>
      <c r="G170" s="58"/>
      <c r="H170" s="58"/>
      <c r="I170" s="55"/>
      <c r="J170" s="55" t="b">
        <v>0</v>
      </c>
      <c r="K170" s="55"/>
      <c r="L170" s="55"/>
      <c r="M170" s="55" t="b">
        <v>0</v>
      </c>
      <c r="N170" s="55"/>
    </row>
    <row r="171">
      <c r="A171" s="60"/>
      <c r="B171" s="60"/>
      <c r="C171" s="60"/>
      <c r="D171" s="60"/>
      <c r="E171" s="61"/>
      <c r="F171" s="60"/>
      <c r="G171" s="62"/>
      <c r="H171" s="62"/>
      <c r="I171" s="60"/>
      <c r="J171" s="60" t="b">
        <v>0</v>
      </c>
      <c r="K171" s="60"/>
      <c r="L171" s="60"/>
      <c r="M171" s="60" t="b">
        <v>0</v>
      </c>
      <c r="N171" s="60"/>
    </row>
    <row r="172">
      <c r="A172" s="55"/>
      <c r="B172" s="55"/>
      <c r="C172" s="55"/>
      <c r="D172" s="55"/>
      <c r="E172" s="57"/>
      <c r="F172" s="55"/>
      <c r="G172" s="58"/>
      <c r="H172" s="58"/>
      <c r="I172" s="55"/>
      <c r="J172" s="55" t="b">
        <v>0</v>
      </c>
      <c r="K172" s="55"/>
      <c r="L172" s="55"/>
      <c r="M172" s="55" t="b">
        <v>0</v>
      </c>
      <c r="N172" s="55"/>
    </row>
    <row r="173">
      <c r="A173" s="60"/>
      <c r="B173" s="60"/>
      <c r="C173" s="60"/>
      <c r="D173" s="60"/>
      <c r="E173" s="61"/>
      <c r="F173" s="60"/>
      <c r="G173" s="62"/>
      <c r="H173" s="62"/>
      <c r="I173" s="60"/>
      <c r="J173" s="60" t="b">
        <v>0</v>
      </c>
      <c r="K173" s="60"/>
      <c r="L173" s="60"/>
      <c r="M173" s="60" t="b">
        <v>0</v>
      </c>
      <c r="N173" s="60"/>
    </row>
    <row r="174">
      <c r="A174" s="55"/>
      <c r="B174" s="55"/>
      <c r="C174" s="55"/>
      <c r="D174" s="55"/>
      <c r="E174" s="57"/>
      <c r="F174" s="55"/>
      <c r="G174" s="58"/>
      <c r="H174" s="58"/>
      <c r="I174" s="55"/>
      <c r="J174" s="55" t="b">
        <v>0</v>
      </c>
      <c r="K174" s="55"/>
      <c r="L174" s="55"/>
      <c r="M174" s="55" t="b">
        <v>0</v>
      </c>
      <c r="N174" s="55"/>
    </row>
    <row r="175">
      <c r="A175" s="60"/>
      <c r="B175" s="60"/>
      <c r="C175" s="60"/>
      <c r="D175" s="60"/>
      <c r="E175" s="61"/>
      <c r="F175" s="60"/>
      <c r="G175" s="62"/>
      <c r="H175" s="62"/>
      <c r="I175" s="60"/>
      <c r="J175" s="60" t="b">
        <v>0</v>
      </c>
      <c r="K175" s="60"/>
      <c r="L175" s="60"/>
      <c r="M175" s="60" t="b">
        <v>0</v>
      </c>
      <c r="N175" s="60"/>
    </row>
    <row r="176">
      <c r="A176" s="55"/>
      <c r="B176" s="55"/>
      <c r="C176" s="55"/>
      <c r="D176" s="55"/>
      <c r="E176" s="57"/>
      <c r="F176" s="55"/>
      <c r="G176" s="58"/>
      <c r="H176" s="58"/>
      <c r="I176" s="55"/>
      <c r="J176" s="55" t="b">
        <v>0</v>
      </c>
      <c r="K176" s="55"/>
      <c r="L176" s="55"/>
      <c r="M176" s="55" t="b">
        <v>0</v>
      </c>
      <c r="N176" s="55"/>
    </row>
    <row r="177">
      <c r="A177" s="60"/>
      <c r="B177" s="60"/>
      <c r="C177" s="60"/>
      <c r="D177" s="60"/>
      <c r="E177" s="61"/>
      <c r="F177" s="60"/>
      <c r="G177" s="62"/>
      <c r="H177" s="62"/>
      <c r="I177" s="60"/>
      <c r="J177" s="60" t="b">
        <v>0</v>
      </c>
      <c r="K177" s="60"/>
      <c r="L177" s="60"/>
      <c r="M177" s="60" t="b">
        <v>0</v>
      </c>
      <c r="N177" s="60"/>
    </row>
    <row r="178">
      <c r="A178" s="55"/>
      <c r="B178" s="55"/>
      <c r="C178" s="55"/>
      <c r="D178" s="55"/>
      <c r="E178" s="57"/>
      <c r="F178" s="55"/>
      <c r="G178" s="58"/>
      <c r="H178" s="58"/>
      <c r="I178" s="55"/>
      <c r="J178" s="55" t="b">
        <v>0</v>
      </c>
      <c r="K178" s="55"/>
      <c r="L178" s="55"/>
      <c r="M178" s="55" t="b">
        <v>0</v>
      </c>
      <c r="N178" s="55"/>
    </row>
    <row r="179">
      <c r="A179" s="60"/>
      <c r="B179" s="60"/>
      <c r="C179" s="60"/>
      <c r="D179" s="60"/>
      <c r="E179" s="61"/>
      <c r="F179" s="60"/>
      <c r="G179" s="62"/>
      <c r="H179" s="62"/>
      <c r="I179" s="60"/>
      <c r="J179" s="60" t="b">
        <v>0</v>
      </c>
      <c r="K179" s="60"/>
      <c r="L179" s="60"/>
      <c r="M179" s="60" t="b">
        <v>0</v>
      </c>
      <c r="N179" s="60"/>
    </row>
    <row r="180">
      <c r="A180" s="55"/>
      <c r="B180" s="55"/>
      <c r="C180" s="55"/>
      <c r="D180" s="55"/>
      <c r="E180" s="57"/>
      <c r="F180" s="55"/>
      <c r="G180" s="58"/>
      <c r="H180" s="58"/>
      <c r="I180" s="55"/>
      <c r="J180" s="55" t="b">
        <v>0</v>
      </c>
      <c r="K180" s="55"/>
      <c r="L180" s="55"/>
      <c r="M180" s="55" t="b">
        <v>0</v>
      </c>
      <c r="N180" s="55"/>
    </row>
    <row r="181">
      <c r="A181" s="60"/>
      <c r="B181" s="60"/>
      <c r="C181" s="60"/>
      <c r="D181" s="60"/>
      <c r="E181" s="61"/>
      <c r="F181" s="60"/>
      <c r="G181" s="62"/>
      <c r="H181" s="62"/>
      <c r="I181" s="60"/>
      <c r="J181" s="60" t="b">
        <v>0</v>
      </c>
      <c r="K181" s="60"/>
      <c r="L181" s="60"/>
      <c r="M181" s="60" t="b">
        <v>0</v>
      </c>
      <c r="N181" s="60"/>
    </row>
    <row r="182">
      <c r="A182" s="55"/>
      <c r="B182" s="55"/>
      <c r="C182" s="55"/>
      <c r="D182" s="55"/>
      <c r="E182" s="57"/>
      <c r="F182" s="55"/>
      <c r="G182" s="58"/>
      <c r="H182" s="58"/>
      <c r="I182" s="55"/>
      <c r="J182" s="55" t="b">
        <v>0</v>
      </c>
      <c r="K182" s="55"/>
      <c r="L182" s="55"/>
      <c r="M182" s="55" t="b">
        <v>0</v>
      </c>
      <c r="N182" s="55"/>
    </row>
    <row r="183">
      <c r="A183" s="60"/>
      <c r="B183" s="60"/>
      <c r="C183" s="60"/>
      <c r="D183" s="60"/>
      <c r="E183" s="61"/>
      <c r="F183" s="60"/>
      <c r="G183" s="62"/>
      <c r="H183" s="62"/>
      <c r="I183" s="60"/>
      <c r="J183" s="60" t="b">
        <v>0</v>
      </c>
      <c r="K183" s="60"/>
      <c r="L183" s="60"/>
      <c r="M183" s="60" t="b">
        <v>0</v>
      </c>
      <c r="N183" s="60"/>
    </row>
    <row r="184">
      <c r="A184" s="55"/>
      <c r="B184" s="55"/>
      <c r="C184" s="55"/>
      <c r="D184" s="55"/>
      <c r="E184" s="57"/>
      <c r="F184" s="55"/>
      <c r="G184" s="58"/>
      <c r="H184" s="58"/>
      <c r="I184" s="55"/>
      <c r="J184" s="55" t="b">
        <v>0</v>
      </c>
      <c r="K184" s="55"/>
      <c r="L184" s="55"/>
      <c r="M184" s="55" t="b">
        <v>0</v>
      </c>
      <c r="N184" s="55"/>
    </row>
    <row r="185">
      <c r="A185" s="60"/>
      <c r="B185" s="60"/>
      <c r="C185" s="60"/>
      <c r="D185" s="60"/>
      <c r="E185" s="61"/>
      <c r="F185" s="60"/>
      <c r="G185" s="62"/>
      <c r="H185" s="62"/>
      <c r="I185" s="60"/>
      <c r="J185" s="60" t="b">
        <v>0</v>
      </c>
      <c r="K185" s="60"/>
      <c r="L185" s="60"/>
      <c r="M185" s="60" t="b">
        <v>0</v>
      </c>
      <c r="N185" s="60"/>
    </row>
    <row r="186">
      <c r="A186" s="55"/>
      <c r="B186" s="55"/>
      <c r="C186" s="55"/>
      <c r="D186" s="55"/>
      <c r="E186" s="57"/>
      <c r="F186" s="55"/>
      <c r="G186" s="58"/>
      <c r="H186" s="58"/>
      <c r="I186" s="55"/>
      <c r="J186" s="55" t="b">
        <v>0</v>
      </c>
      <c r="K186" s="55"/>
      <c r="L186" s="55"/>
      <c r="M186" s="55" t="b">
        <v>0</v>
      </c>
      <c r="N186" s="55"/>
    </row>
    <row r="187">
      <c r="A187" s="60"/>
      <c r="B187" s="60"/>
      <c r="C187" s="60"/>
      <c r="D187" s="60"/>
      <c r="E187" s="61"/>
      <c r="F187" s="60"/>
      <c r="G187" s="62"/>
      <c r="H187" s="62"/>
      <c r="I187" s="60"/>
      <c r="J187" s="60" t="b">
        <v>0</v>
      </c>
      <c r="K187" s="60"/>
      <c r="L187" s="60"/>
      <c r="M187" s="60" t="b">
        <v>0</v>
      </c>
      <c r="N187" s="60"/>
    </row>
    <row r="188">
      <c r="A188" s="55"/>
      <c r="B188" s="55"/>
      <c r="C188" s="55"/>
      <c r="D188" s="55"/>
      <c r="E188" s="57"/>
      <c r="F188" s="55"/>
      <c r="G188" s="58"/>
      <c r="H188" s="58"/>
      <c r="I188" s="55"/>
      <c r="J188" s="55" t="b">
        <v>0</v>
      </c>
      <c r="K188" s="55"/>
      <c r="L188" s="55"/>
      <c r="M188" s="55" t="b">
        <v>0</v>
      </c>
      <c r="N188" s="55"/>
    </row>
    <row r="189">
      <c r="A189" s="60"/>
      <c r="B189" s="60"/>
      <c r="C189" s="60"/>
      <c r="D189" s="60"/>
      <c r="E189" s="61"/>
      <c r="F189" s="60"/>
      <c r="G189" s="62"/>
      <c r="H189" s="62"/>
      <c r="I189" s="60"/>
      <c r="J189" s="60" t="b">
        <v>0</v>
      </c>
      <c r="K189" s="60"/>
      <c r="L189" s="60"/>
      <c r="M189" s="60" t="b">
        <v>0</v>
      </c>
      <c r="N189" s="60"/>
    </row>
    <row r="190">
      <c r="A190" s="55"/>
      <c r="B190" s="55"/>
      <c r="C190" s="55"/>
      <c r="D190" s="55"/>
      <c r="E190" s="57"/>
      <c r="F190" s="55"/>
      <c r="G190" s="58"/>
      <c r="H190" s="58"/>
      <c r="I190" s="55"/>
      <c r="J190" s="55" t="b">
        <v>0</v>
      </c>
      <c r="K190" s="55"/>
      <c r="L190" s="55"/>
      <c r="M190" s="55" t="b">
        <v>0</v>
      </c>
      <c r="N190" s="55"/>
    </row>
    <row r="191">
      <c r="A191" s="60"/>
      <c r="B191" s="60"/>
      <c r="C191" s="60"/>
      <c r="D191" s="60"/>
      <c r="E191" s="61"/>
      <c r="F191" s="60"/>
      <c r="G191" s="62"/>
      <c r="H191" s="62"/>
      <c r="I191" s="60"/>
      <c r="J191" s="60" t="b">
        <v>0</v>
      </c>
      <c r="K191" s="60"/>
      <c r="L191" s="60"/>
      <c r="M191" s="60" t="b">
        <v>0</v>
      </c>
      <c r="N191" s="60"/>
    </row>
    <row r="192">
      <c r="A192" s="55"/>
      <c r="B192" s="55"/>
      <c r="C192" s="55"/>
      <c r="D192" s="55"/>
      <c r="E192" s="57"/>
      <c r="F192" s="55"/>
      <c r="G192" s="58"/>
      <c r="H192" s="58"/>
      <c r="I192" s="55"/>
      <c r="J192" s="55" t="b">
        <v>0</v>
      </c>
      <c r="K192" s="55"/>
      <c r="L192" s="55"/>
      <c r="M192" s="55" t="b">
        <v>0</v>
      </c>
      <c r="N192" s="55"/>
    </row>
    <row r="193">
      <c r="A193" s="60"/>
      <c r="B193" s="60"/>
      <c r="C193" s="60"/>
      <c r="D193" s="60"/>
      <c r="E193" s="61"/>
      <c r="F193" s="60"/>
      <c r="G193" s="62"/>
      <c r="H193" s="62"/>
      <c r="I193" s="60"/>
      <c r="J193" s="60" t="b">
        <v>0</v>
      </c>
      <c r="K193" s="60"/>
      <c r="L193" s="60"/>
      <c r="M193" s="60" t="b">
        <v>0</v>
      </c>
      <c r="N193" s="60"/>
    </row>
    <row r="194">
      <c r="A194" s="55"/>
      <c r="B194" s="55"/>
      <c r="C194" s="55"/>
      <c r="D194" s="55"/>
      <c r="E194" s="57"/>
      <c r="F194" s="55"/>
      <c r="G194" s="58"/>
      <c r="H194" s="58"/>
      <c r="I194" s="55"/>
      <c r="J194" s="55" t="b">
        <v>0</v>
      </c>
      <c r="K194" s="55"/>
      <c r="L194" s="55"/>
      <c r="M194" s="55" t="b">
        <v>0</v>
      </c>
      <c r="N194" s="55"/>
    </row>
    <row r="195">
      <c r="A195" s="60"/>
      <c r="B195" s="60"/>
      <c r="C195" s="60"/>
      <c r="D195" s="60"/>
      <c r="E195" s="61"/>
      <c r="F195" s="60"/>
      <c r="G195" s="62"/>
      <c r="H195" s="62"/>
      <c r="I195" s="60"/>
      <c r="J195" s="60" t="b">
        <v>0</v>
      </c>
      <c r="K195" s="60"/>
      <c r="L195" s="60"/>
      <c r="M195" s="60" t="b">
        <v>0</v>
      </c>
      <c r="N195" s="60"/>
    </row>
    <row r="196">
      <c r="A196" s="55"/>
      <c r="B196" s="55"/>
      <c r="C196" s="55"/>
      <c r="D196" s="55"/>
      <c r="E196" s="57"/>
      <c r="F196" s="55"/>
      <c r="G196" s="58"/>
      <c r="H196" s="58"/>
      <c r="I196" s="55"/>
      <c r="J196" s="55" t="b">
        <v>0</v>
      </c>
      <c r="K196" s="55"/>
      <c r="L196" s="55"/>
      <c r="M196" s="55" t="b">
        <v>0</v>
      </c>
      <c r="N196" s="55"/>
    </row>
    <row r="197">
      <c r="A197" s="60"/>
      <c r="B197" s="60"/>
      <c r="C197" s="60"/>
      <c r="D197" s="60"/>
      <c r="E197" s="61"/>
      <c r="F197" s="60"/>
      <c r="G197" s="62"/>
      <c r="H197" s="62"/>
      <c r="I197" s="60"/>
      <c r="J197" s="60" t="b">
        <v>0</v>
      </c>
      <c r="K197" s="60"/>
      <c r="L197" s="60"/>
      <c r="M197" s="60" t="b">
        <v>0</v>
      </c>
      <c r="N197" s="60"/>
    </row>
    <row r="198">
      <c r="A198" s="55"/>
      <c r="B198" s="55"/>
      <c r="C198" s="55"/>
      <c r="D198" s="55"/>
      <c r="E198" s="57"/>
      <c r="F198" s="55"/>
      <c r="G198" s="58"/>
      <c r="H198" s="58"/>
      <c r="I198" s="55"/>
      <c r="J198" s="55" t="b">
        <v>0</v>
      </c>
      <c r="K198" s="55"/>
      <c r="L198" s="55"/>
      <c r="M198" s="55" t="b">
        <v>0</v>
      </c>
      <c r="N198" s="55"/>
    </row>
    <row r="199">
      <c r="A199" s="60"/>
      <c r="B199" s="60"/>
      <c r="C199" s="60"/>
      <c r="D199" s="60"/>
      <c r="E199" s="61"/>
      <c r="F199" s="60"/>
      <c r="G199" s="62"/>
      <c r="H199" s="62"/>
      <c r="I199" s="60"/>
      <c r="J199" s="60" t="b">
        <v>0</v>
      </c>
      <c r="K199" s="60"/>
      <c r="L199" s="60"/>
      <c r="M199" s="60" t="b">
        <v>0</v>
      </c>
      <c r="N199" s="60"/>
    </row>
    <row r="200">
      <c r="A200" s="55"/>
      <c r="B200" s="55"/>
      <c r="C200" s="55"/>
      <c r="D200" s="55"/>
      <c r="E200" s="57"/>
      <c r="F200" s="55"/>
      <c r="G200" s="58"/>
      <c r="H200" s="58"/>
      <c r="I200" s="55"/>
      <c r="J200" s="55" t="b">
        <v>0</v>
      </c>
      <c r="K200" s="55"/>
      <c r="L200" s="55"/>
      <c r="M200" s="55" t="b">
        <v>0</v>
      </c>
      <c r="N200" s="55"/>
    </row>
    <row r="201">
      <c r="A201" s="60"/>
      <c r="B201" s="60"/>
      <c r="C201" s="60"/>
      <c r="D201" s="60"/>
      <c r="E201" s="61"/>
      <c r="F201" s="60"/>
      <c r="G201" s="62"/>
      <c r="H201" s="62"/>
      <c r="I201" s="60"/>
      <c r="J201" s="60" t="b">
        <v>0</v>
      </c>
      <c r="K201" s="60"/>
      <c r="L201" s="60"/>
      <c r="M201" s="60" t="b">
        <v>0</v>
      </c>
      <c r="N201" s="60"/>
    </row>
    <row r="202">
      <c r="A202" s="55"/>
      <c r="B202" s="55"/>
      <c r="C202" s="55"/>
      <c r="D202" s="55"/>
      <c r="E202" s="57"/>
      <c r="F202" s="55"/>
      <c r="G202" s="58"/>
      <c r="H202" s="58"/>
      <c r="I202" s="55"/>
      <c r="J202" s="55" t="b">
        <v>0</v>
      </c>
      <c r="K202" s="55"/>
      <c r="L202" s="55"/>
      <c r="M202" s="55" t="b">
        <v>0</v>
      </c>
      <c r="N202" s="55"/>
    </row>
    <row r="203">
      <c r="A203" s="60"/>
      <c r="B203" s="60"/>
      <c r="C203" s="60"/>
      <c r="D203" s="60"/>
      <c r="E203" s="61"/>
      <c r="F203" s="60"/>
      <c r="G203" s="62"/>
      <c r="H203" s="62"/>
      <c r="I203" s="60"/>
      <c r="J203" s="60" t="b">
        <v>0</v>
      </c>
      <c r="K203" s="60"/>
      <c r="L203" s="60"/>
      <c r="M203" s="60" t="b">
        <v>0</v>
      </c>
      <c r="N203" s="60"/>
    </row>
    <row r="204">
      <c r="A204" s="55"/>
      <c r="B204" s="55"/>
      <c r="C204" s="55"/>
      <c r="D204" s="55"/>
      <c r="E204" s="57"/>
      <c r="F204" s="55"/>
      <c r="G204" s="58"/>
      <c r="H204" s="58"/>
      <c r="I204" s="55"/>
      <c r="J204" s="55" t="b">
        <v>0</v>
      </c>
      <c r="K204" s="55"/>
      <c r="L204" s="55"/>
      <c r="M204" s="55" t="b">
        <v>0</v>
      </c>
      <c r="N204" s="55"/>
    </row>
    <row r="205">
      <c r="A205" s="60"/>
      <c r="B205" s="60"/>
      <c r="C205" s="60"/>
      <c r="D205" s="60"/>
      <c r="E205" s="61"/>
      <c r="F205" s="60"/>
      <c r="G205" s="62"/>
      <c r="H205" s="62"/>
      <c r="I205" s="60"/>
      <c r="J205" s="60" t="b">
        <v>0</v>
      </c>
      <c r="K205" s="60"/>
      <c r="L205" s="60"/>
      <c r="M205" s="60" t="b">
        <v>0</v>
      </c>
      <c r="N205" s="60"/>
    </row>
    <row r="206">
      <c r="A206" s="55"/>
      <c r="B206" s="55"/>
      <c r="C206" s="55"/>
      <c r="D206" s="55"/>
      <c r="E206" s="57"/>
      <c r="F206" s="55"/>
      <c r="G206" s="58"/>
      <c r="H206" s="58"/>
      <c r="I206" s="55"/>
      <c r="J206" s="55" t="b">
        <v>0</v>
      </c>
      <c r="K206" s="55"/>
      <c r="L206" s="55"/>
      <c r="M206" s="55" t="b">
        <v>0</v>
      </c>
      <c r="N206" s="55"/>
    </row>
    <row r="207">
      <c r="A207" s="60"/>
      <c r="B207" s="60"/>
      <c r="C207" s="60"/>
      <c r="D207" s="60"/>
      <c r="E207" s="61"/>
      <c r="F207" s="60"/>
      <c r="G207" s="62"/>
      <c r="H207" s="62"/>
      <c r="I207" s="60"/>
      <c r="J207" s="60" t="b">
        <v>0</v>
      </c>
      <c r="K207" s="60"/>
      <c r="L207" s="60"/>
      <c r="M207" s="60" t="b">
        <v>0</v>
      </c>
      <c r="N207" s="60"/>
    </row>
    <row r="208">
      <c r="A208" s="55"/>
      <c r="B208" s="55"/>
      <c r="C208" s="55"/>
      <c r="D208" s="55"/>
      <c r="E208" s="57"/>
      <c r="F208" s="55"/>
      <c r="G208" s="58"/>
      <c r="H208" s="58"/>
      <c r="I208" s="55"/>
      <c r="J208" s="55" t="b">
        <v>0</v>
      </c>
      <c r="K208" s="55"/>
      <c r="L208" s="55"/>
      <c r="M208" s="55" t="b">
        <v>0</v>
      </c>
      <c r="N208" s="55"/>
    </row>
    <row r="209">
      <c r="A209" s="60"/>
      <c r="B209" s="60"/>
      <c r="C209" s="60"/>
      <c r="D209" s="60"/>
      <c r="E209" s="61"/>
      <c r="F209" s="60"/>
      <c r="G209" s="62"/>
      <c r="H209" s="62"/>
      <c r="I209" s="60"/>
      <c r="J209" s="60" t="b">
        <v>0</v>
      </c>
      <c r="K209" s="60"/>
      <c r="L209" s="60"/>
      <c r="M209" s="60" t="b">
        <v>0</v>
      </c>
      <c r="N209" s="60"/>
    </row>
    <row r="210">
      <c r="A210" s="55"/>
      <c r="B210" s="55"/>
      <c r="C210" s="55"/>
      <c r="D210" s="55"/>
      <c r="E210" s="57"/>
      <c r="F210" s="55"/>
      <c r="G210" s="58"/>
      <c r="H210" s="58"/>
      <c r="I210" s="55"/>
      <c r="J210" s="55" t="b">
        <v>0</v>
      </c>
      <c r="K210" s="55"/>
      <c r="L210" s="55"/>
      <c r="M210" s="55" t="b">
        <v>0</v>
      </c>
      <c r="N210" s="55"/>
    </row>
    <row r="211">
      <c r="A211" s="60"/>
      <c r="B211" s="60"/>
      <c r="C211" s="60"/>
      <c r="D211" s="60"/>
      <c r="E211" s="61"/>
      <c r="F211" s="60"/>
      <c r="G211" s="62"/>
      <c r="H211" s="62"/>
      <c r="I211" s="60"/>
      <c r="J211" s="60" t="b">
        <v>0</v>
      </c>
      <c r="K211" s="60"/>
      <c r="L211" s="60"/>
      <c r="M211" s="60" t="b">
        <v>0</v>
      </c>
      <c r="N211" s="60"/>
    </row>
    <row r="212">
      <c r="A212" s="55"/>
      <c r="B212" s="55"/>
      <c r="C212" s="55"/>
      <c r="D212" s="55"/>
      <c r="E212" s="57"/>
      <c r="F212" s="55"/>
      <c r="G212" s="58"/>
      <c r="H212" s="58"/>
      <c r="I212" s="55"/>
      <c r="J212" s="55" t="b">
        <v>0</v>
      </c>
      <c r="K212" s="55"/>
      <c r="L212" s="55"/>
      <c r="M212" s="55" t="b">
        <v>0</v>
      </c>
      <c r="N212" s="55"/>
    </row>
    <row r="213">
      <c r="A213" s="60"/>
      <c r="B213" s="60"/>
      <c r="C213" s="60"/>
      <c r="D213" s="60"/>
      <c r="E213" s="61"/>
      <c r="F213" s="60"/>
      <c r="G213" s="62"/>
      <c r="H213" s="62"/>
      <c r="I213" s="60"/>
      <c r="J213" s="60" t="b">
        <v>0</v>
      </c>
      <c r="K213" s="60"/>
      <c r="L213" s="60"/>
      <c r="M213" s="60" t="b">
        <v>0</v>
      </c>
      <c r="N213" s="60"/>
    </row>
    <row r="214">
      <c r="A214" s="55"/>
      <c r="B214" s="55"/>
      <c r="C214" s="55"/>
      <c r="D214" s="55"/>
      <c r="E214" s="57"/>
      <c r="F214" s="55"/>
      <c r="G214" s="58"/>
      <c r="H214" s="58"/>
      <c r="I214" s="55"/>
      <c r="J214" s="55" t="b">
        <v>0</v>
      </c>
      <c r="K214" s="55"/>
      <c r="L214" s="55"/>
      <c r="M214" s="55" t="b">
        <v>0</v>
      </c>
      <c r="N214" s="55"/>
    </row>
    <row r="215">
      <c r="A215" s="60"/>
      <c r="B215" s="60"/>
      <c r="C215" s="60"/>
      <c r="D215" s="60"/>
      <c r="E215" s="61"/>
      <c r="F215" s="60"/>
      <c r="G215" s="62"/>
      <c r="H215" s="62"/>
      <c r="I215" s="60"/>
      <c r="J215" s="60" t="b">
        <v>0</v>
      </c>
      <c r="K215" s="60"/>
      <c r="L215" s="60"/>
      <c r="M215" s="60" t="b">
        <v>0</v>
      </c>
      <c r="N215" s="60"/>
    </row>
    <row r="216">
      <c r="A216" s="55"/>
      <c r="B216" s="55"/>
      <c r="C216" s="55"/>
      <c r="D216" s="55"/>
      <c r="E216" s="57"/>
      <c r="F216" s="55"/>
      <c r="G216" s="58"/>
      <c r="H216" s="58"/>
      <c r="I216" s="55"/>
      <c r="J216" s="55" t="b">
        <v>0</v>
      </c>
      <c r="K216" s="55"/>
      <c r="L216" s="55"/>
      <c r="M216" s="55" t="b">
        <v>0</v>
      </c>
      <c r="N216" s="55"/>
    </row>
    <row r="217">
      <c r="A217" s="60"/>
      <c r="B217" s="60"/>
      <c r="C217" s="60"/>
      <c r="D217" s="60"/>
      <c r="E217" s="61"/>
      <c r="F217" s="60"/>
      <c r="G217" s="62"/>
      <c r="H217" s="62"/>
      <c r="I217" s="60"/>
      <c r="J217" s="60" t="b">
        <v>0</v>
      </c>
      <c r="K217" s="60"/>
      <c r="L217" s="60"/>
      <c r="M217" s="60" t="b">
        <v>0</v>
      </c>
      <c r="N217" s="60"/>
    </row>
    <row r="218">
      <c r="A218" s="55"/>
      <c r="B218" s="55"/>
      <c r="C218" s="55"/>
      <c r="D218" s="55"/>
      <c r="E218" s="57"/>
      <c r="F218" s="55"/>
      <c r="G218" s="58"/>
      <c r="H218" s="58"/>
      <c r="I218" s="55"/>
      <c r="J218" s="55" t="b">
        <v>0</v>
      </c>
      <c r="K218" s="55"/>
      <c r="L218" s="55"/>
      <c r="M218" s="55" t="b">
        <v>0</v>
      </c>
      <c r="N218" s="55"/>
    </row>
    <row r="219">
      <c r="A219" s="60"/>
      <c r="B219" s="60"/>
      <c r="C219" s="60"/>
      <c r="D219" s="60"/>
      <c r="E219" s="61"/>
      <c r="F219" s="60"/>
      <c r="G219" s="62"/>
      <c r="H219" s="62"/>
      <c r="I219" s="60"/>
      <c r="J219" s="60" t="b">
        <v>0</v>
      </c>
      <c r="K219" s="60"/>
      <c r="L219" s="60"/>
      <c r="M219" s="60" t="b">
        <v>0</v>
      </c>
      <c r="N219" s="60"/>
    </row>
    <row r="220">
      <c r="A220" s="55"/>
      <c r="B220" s="55"/>
      <c r="C220" s="55"/>
      <c r="D220" s="55"/>
      <c r="E220" s="57"/>
      <c r="F220" s="55"/>
      <c r="G220" s="58"/>
      <c r="H220" s="58"/>
      <c r="I220" s="55"/>
      <c r="J220" s="55" t="b">
        <v>0</v>
      </c>
      <c r="K220" s="55"/>
      <c r="L220" s="55"/>
      <c r="M220" s="55" t="b">
        <v>0</v>
      </c>
      <c r="N220" s="55"/>
    </row>
    <row r="221">
      <c r="A221" s="60"/>
      <c r="B221" s="60"/>
      <c r="C221" s="60"/>
      <c r="D221" s="60"/>
      <c r="E221" s="61"/>
      <c r="F221" s="60"/>
      <c r="G221" s="62"/>
      <c r="H221" s="62"/>
      <c r="I221" s="60"/>
      <c r="J221" s="60" t="b">
        <v>0</v>
      </c>
      <c r="K221" s="60"/>
      <c r="L221" s="60"/>
      <c r="M221" s="60" t="b">
        <v>0</v>
      </c>
      <c r="N221" s="60"/>
    </row>
    <row r="222">
      <c r="A222" s="55"/>
      <c r="B222" s="55"/>
      <c r="C222" s="55"/>
      <c r="D222" s="55"/>
      <c r="E222" s="57"/>
      <c r="F222" s="55"/>
      <c r="G222" s="58"/>
      <c r="H222" s="58"/>
      <c r="I222" s="55"/>
      <c r="J222" s="55" t="b">
        <v>0</v>
      </c>
      <c r="K222" s="55"/>
      <c r="L222" s="55"/>
      <c r="M222" s="55" t="b">
        <v>0</v>
      </c>
      <c r="N222" s="55"/>
    </row>
    <row r="223">
      <c r="A223" s="60"/>
      <c r="B223" s="60"/>
      <c r="C223" s="60"/>
      <c r="D223" s="60"/>
      <c r="E223" s="61"/>
      <c r="F223" s="60"/>
      <c r="G223" s="62"/>
      <c r="H223" s="62"/>
      <c r="I223" s="60"/>
      <c r="J223" s="60" t="b">
        <v>0</v>
      </c>
      <c r="K223" s="60"/>
      <c r="L223" s="60"/>
      <c r="M223" s="60" t="b">
        <v>0</v>
      </c>
      <c r="N223" s="60"/>
    </row>
    <row r="224">
      <c r="A224" s="55"/>
      <c r="B224" s="55"/>
      <c r="C224" s="55"/>
      <c r="D224" s="55"/>
      <c r="E224" s="57"/>
      <c r="F224" s="55"/>
      <c r="G224" s="58"/>
      <c r="H224" s="58"/>
      <c r="I224" s="55"/>
      <c r="J224" s="55" t="b">
        <v>0</v>
      </c>
      <c r="K224" s="55"/>
      <c r="L224" s="55"/>
      <c r="M224" s="55" t="b">
        <v>0</v>
      </c>
      <c r="N224" s="55"/>
    </row>
    <row r="225">
      <c r="A225" s="60"/>
      <c r="B225" s="60"/>
      <c r="C225" s="60"/>
      <c r="D225" s="60"/>
      <c r="E225" s="61"/>
      <c r="F225" s="60"/>
      <c r="G225" s="62"/>
      <c r="H225" s="62"/>
      <c r="I225" s="60"/>
      <c r="J225" s="60" t="b">
        <v>0</v>
      </c>
      <c r="K225" s="60"/>
      <c r="L225" s="60"/>
      <c r="M225" s="60" t="b">
        <v>0</v>
      </c>
      <c r="N225" s="60"/>
    </row>
    <row r="226">
      <c r="A226" s="55"/>
      <c r="B226" s="55"/>
      <c r="C226" s="55"/>
      <c r="D226" s="55"/>
      <c r="E226" s="57"/>
      <c r="F226" s="55"/>
      <c r="G226" s="58"/>
      <c r="H226" s="58"/>
      <c r="I226" s="55"/>
      <c r="J226" s="55" t="b">
        <v>0</v>
      </c>
      <c r="K226" s="55"/>
      <c r="L226" s="55"/>
      <c r="M226" s="55" t="b">
        <v>0</v>
      </c>
      <c r="N226" s="55"/>
    </row>
    <row r="227">
      <c r="A227" s="60"/>
      <c r="B227" s="60"/>
      <c r="C227" s="60"/>
      <c r="D227" s="60"/>
      <c r="E227" s="61"/>
      <c r="F227" s="60"/>
      <c r="G227" s="62"/>
      <c r="H227" s="62"/>
      <c r="I227" s="60"/>
      <c r="J227" s="60" t="b">
        <v>0</v>
      </c>
      <c r="K227" s="60"/>
      <c r="L227" s="60"/>
      <c r="M227" s="60" t="b">
        <v>0</v>
      </c>
      <c r="N227" s="60"/>
    </row>
    <row r="228">
      <c r="A228" s="55"/>
      <c r="B228" s="55"/>
      <c r="C228" s="55"/>
      <c r="D228" s="55"/>
      <c r="E228" s="57"/>
      <c r="F228" s="55"/>
      <c r="G228" s="58"/>
      <c r="H228" s="58"/>
      <c r="I228" s="55"/>
      <c r="J228" s="55" t="b">
        <v>0</v>
      </c>
      <c r="K228" s="55"/>
      <c r="L228" s="55"/>
      <c r="M228" s="55" t="b">
        <v>0</v>
      </c>
      <c r="N228" s="55"/>
    </row>
    <row r="229">
      <c r="A229" s="60"/>
      <c r="B229" s="60"/>
      <c r="C229" s="60"/>
      <c r="D229" s="60"/>
      <c r="E229" s="61"/>
      <c r="F229" s="60"/>
      <c r="G229" s="62"/>
      <c r="H229" s="62"/>
      <c r="I229" s="60"/>
      <c r="J229" s="60" t="b">
        <v>0</v>
      </c>
      <c r="K229" s="60"/>
      <c r="L229" s="60"/>
      <c r="M229" s="60" t="b">
        <v>0</v>
      </c>
      <c r="N229" s="60"/>
    </row>
    <row r="230">
      <c r="A230" s="55"/>
      <c r="B230" s="55"/>
      <c r="C230" s="55"/>
      <c r="D230" s="55"/>
      <c r="E230" s="57"/>
      <c r="F230" s="55"/>
      <c r="G230" s="58"/>
      <c r="H230" s="58"/>
      <c r="I230" s="55"/>
      <c r="J230" s="55" t="b">
        <v>0</v>
      </c>
      <c r="K230" s="55"/>
      <c r="L230" s="55"/>
      <c r="M230" s="55" t="b">
        <v>0</v>
      </c>
      <c r="N230" s="55"/>
    </row>
    <row r="231">
      <c r="A231" s="60"/>
      <c r="B231" s="60"/>
      <c r="C231" s="60"/>
      <c r="D231" s="60"/>
      <c r="E231" s="61"/>
      <c r="F231" s="60"/>
      <c r="G231" s="62"/>
      <c r="H231" s="62"/>
      <c r="I231" s="60"/>
      <c r="J231" s="60" t="b">
        <v>0</v>
      </c>
      <c r="K231" s="60"/>
      <c r="L231" s="60"/>
      <c r="M231" s="60" t="b">
        <v>0</v>
      </c>
      <c r="N231" s="60"/>
    </row>
    <row r="232">
      <c r="A232" s="55"/>
      <c r="B232" s="55"/>
      <c r="C232" s="55"/>
      <c r="D232" s="55"/>
      <c r="E232" s="57"/>
      <c r="F232" s="55"/>
      <c r="G232" s="58"/>
      <c r="H232" s="58"/>
      <c r="I232" s="55"/>
      <c r="J232" s="55" t="b">
        <v>0</v>
      </c>
      <c r="K232" s="55"/>
      <c r="L232" s="55"/>
      <c r="M232" s="55" t="b">
        <v>0</v>
      </c>
      <c r="N232" s="55"/>
    </row>
    <row r="233">
      <c r="A233" s="60"/>
      <c r="B233" s="60"/>
      <c r="C233" s="60"/>
      <c r="D233" s="60"/>
      <c r="E233" s="61"/>
      <c r="F233" s="60"/>
      <c r="G233" s="62"/>
      <c r="H233" s="62"/>
      <c r="I233" s="60"/>
      <c r="J233" s="60" t="b">
        <v>0</v>
      </c>
      <c r="K233" s="60"/>
      <c r="L233" s="60"/>
      <c r="M233" s="60" t="b">
        <v>0</v>
      </c>
      <c r="N233" s="60"/>
    </row>
    <row r="234">
      <c r="A234" s="55"/>
      <c r="B234" s="55"/>
      <c r="C234" s="55"/>
      <c r="D234" s="55"/>
      <c r="E234" s="57"/>
      <c r="F234" s="55"/>
      <c r="G234" s="58"/>
      <c r="H234" s="58"/>
      <c r="I234" s="55"/>
      <c r="J234" s="55" t="b">
        <v>0</v>
      </c>
      <c r="K234" s="55"/>
      <c r="L234" s="55"/>
      <c r="M234" s="55" t="b">
        <v>0</v>
      </c>
      <c r="N234" s="55"/>
    </row>
    <row r="235">
      <c r="A235" s="60"/>
      <c r="B235" s="60"/>
      <c r="C235" s="60"/>
      <c r="D235" s="60"/>
      <c r="E235" s="61"/>
      <c r="F235" s="60"/>
      <c r="G235" s="62"/>
      <c r="H235" s="62"/>
      <c r="I235" s="60"/>
      <c r="J235" s="60" t="b">
        <v>0</v>
      </c>
      <c r="K235" s="60"/>
      <c r="L235" s="60"/>
      <c r="M235" s="60" t="b">
        <v>0</v>
      </c>
      <c r="N235" s="60"/>
    </row>
    <row r="236">
      <c r="A236" s="55"/>
      <c r="B236" s="55"/>
      <c r="C236" s="55"/>
      <c r="D236" s="55"/>
      <c r="E236" s="57"/>
      <c r="F236" s="55"/>
      <c r="G236" s="58"/>
      <c r="H236" s="58"/>
      <c r="I236" s="55"/>
      <c r="J236" s="55" t="b">
        <v>0</v>
      </c>
      <c r="K236" s="55"/>
      <c r="L236" s="55"/>
      <c r="M236" s="55" t="b">
        <v>0</v>
      </c>
      <c r="N236" s="55"/>
    </row>
    <row r="237">
      <c r="A237" s="60"/>
      <c r="B237" s="60"/>
      <c r="C237" s="60"/>
      <c r="D237" s="60"/>
      <c r="E237" s="61"/>
      <c r="F237" s="60"/>
      <c r="G237" s="62"/>
      <c r="H237" s="62"/>
      <c r="I237" s="60"/>
      <c r="J237" s="60" t="b">
        <v>0</v>
      </c>
      <c r="K237" s="60"/>
      <c r="L237" s="60"/>
      <c r="M237" s="60" t="b">
        <v>0</v>
      </c>
      <c r="N237" s="60"/>
    </row>
    <row r="238">
      <c r="A238" s="55"/>
      <c r="B238" s="55"/>
      <c r="C238" s="55"/>
      <c r="D238" s="55"/>
      <c r="E238" s="57"/>
      <c r="F238" s="55"/>
      <c r="G238" s="58"/>
      <c r="H238" s="58"/>
      <c r="I238" s="55"/>
      <c r="J238" s="55" t="b">
        <v>0</v>
      </c>
      <c r="K238" s="55"/>
      <c r="L238" s="55"/>
      <c r="M238" s="55" t="b">
        <v>0</v>
      </c>
      <c r="N238" s="55"/>
    </row>
    <row r="239">
      <c r="A239" s="60"/>
      <c r="B239" s="60"/>
      <c r="C239" s="60"/>
      <c r="D239" s="60"/>
      <c r="E239" s="61"/>
      <c r="F239" s="60"/>
      <c r="G239" s="62"/>
      <c r="H239" s="62"/>
      <c r="I239" s="60"/>
      <c r="J239" s="60" t="b">
        <v>0</v>
      </c>
      <c r="K239" s="60"/>
      <c r="L239" s="60"/>
      <c r="M239" s="60" t="b">
        <v>0</v>
      </c>
      <c r="N239" s="60"/>
    </row>
    <row r="240">
      <c r="A240" s="55"/>
      <c r="B240" s="55"/>
      <c r="C240" s="55"/>
      <c r="D240" s="55"/>
      <c r="E240" s="57"/>
      <c r="F240" s="55"/>
      <c r="G240" s="58"/>
      <c r="H240" s="58"/>
      <c r="I240" s="55"/>
      <c r="J240" s="55" t="b">
        <v>0</v>
      </c>
      <c r="K240" s="55"/>
      <c r="L240" s="55"/>
      <c r="M240" s="55" t="b">
        <v>0</v>
      </c>
      <c r="N240" s="55"/>
    </row>
    <row r="241">
      <c r="A241" s="60"/>
      <c r="B241" s="60"/>
      <c r="C241" s="60"/>
      <c r="D241" s="60"/>
      <c r="E241" s="61"/>
      <c r="F241" s="60"/>
      <c r="G241" s="62"/>
      <c r="H241" s="62"/>
      <c r="I241" s="60"/>
      <c r="J241" s="60" t="b">
        <v>0</v>
      </c>
      <c r="K241" s="60"/>
      <c r="L241" s="60"/>
      <c r="M241" s="60" t="b">
        <v>0</v>
      </c>
      <c r="N241" s="60"/>
    </row>
    <row r="242">
      <c r="A242" s="55"/>
      <c r="B242" s="55"/>
      <c r="C242" s="55"/>
      <c r="D242" s="55"/>
      <c r="E242" s="57"/>
      <c r="F242" s="55"/>
      <c r="G242" s="58"/>
      <c r="H242" s="58"/>
      <c r="I242" s="55"/>
      <c r="J242" s="55" t="b">
        <v>0</v>
      </c>
      <c r="K242" s="55"/>
      <c r="L242" s="55"/>
      <c r="M242" s="55" t="b">
        <v>0</v>
      </c>
      <c r="N242" s="55"/>
    </row>
    <row r="243">
      <c r="A243" s="60"/>
      <c r="B243" s="60"/>
      <c r="C243" s="60"/>
      <c r="D243" s="60"/>
      <c r="E243" s="61"/>
      <c r="F243" s="60"/>
      <c r="G243" s="62"/>
      <c r="H243" s="62"/>
      <c r="I243" s="60"/>
      <c r="J243" s="60" t="b">
        <v>0</v>
      </c>
      <c r="K243" s="60"/>
      <c r="L243" s="60"/>
      <c r="M243" s="60" t="b">
        <v>0</v>
      </c>
      <c r="N243" s="60"/>
    </row>
    <row r="244">
      <c r="A244" s="55"/>
      <c r="B244" s="55"/>
      <c r="C244" s="55"/>
      <c r="D244" s="55"/>
      <c r="E244" s="57"/>
      <c r="F244" s="55"/>
      <c r="G244" s="58"/>
      <c r="H244" s="58"/>
      <c r="I244" s="55"/>
      <c r="J244" s="55" t="b">
        <v>0</v>
      </c>
      <c r="K244" s="55"/>
      <c r="L244" s="55"/>
      <c r="M244" s="55" t="b">
        <v>0</v>
      </c>
      <c r="N244" s="55"/>
    </row>
    <row r="245">
      <c r="A245" s="60"/>
      <c r="B245" s="60"/>
      <c r="C245" s="60"/>
      <c r="D245" s="60"/>
      <c r="E245" s="61"/>
      <c r="F245" s="60"/>
      <c r="G245" s="62"/>
      <c r="H245" s="62"/>
      <c r="I245" s="60"/>
      <c r="J245" s="60" t="b">
        <v>0</v>
      </c>
      <c r="K245" s="60"/>
      <c r="L245" s="60"/>
      <c r="M245" s="60" t="b">
        <v>0</v>
      </c>
      <c r="N245" s="60"/>
    </row>
    <row r="246">
      <c r="A246" s="55"/>
      <c r="B246" s="55"/>
      <c r="C246" s="55"/>
      <c r="D246" s="55"/>
      <c r="E246" s="57"/>
      <c r="F246" s="55"/>
      <c r="G246" s="58"/>
      <c r="H246" s="58"/>
      <c r="I246" s="55"/>
      <c r="J246" s="55" t="b">
        <v>0</v>
      </c>
      <c r="K246" s="55"/>
      <c r="L246" s="55"/>
      <c r="M246" s="55" t="b">
        <v>0</v>
      </c>
      <c r="N246" s="55"/>
    </row>
    <row r="247">
      <c r="A247" s="60"/>
      <c r="B247" s="60"/>
      <c r="C247" s="60"/>
      <c r="D247" s="60"/>
      <c r="E247" s="61"/>
      <c r="F247" s="60"/>
      <c r="G247" s="62"/>
      <c r="H247" s="62"/>
      <c r="I247" s="60"/>
      <c r="J247" s="60" t="b">
        <v>0</v>
      </c>
      <c r="K247" s="60"/>
      <c r="L247" s="60"/>
      <c r="M247" s="60" t="b">
        <v>0</v>
      </c>
      <c r="N247" s="60"/>
    </row>
    <row r="248">
      <c r="A248" s="55"/>
      <c r="B248" s="55"/>
      <c r="C248" s="55"/>
      <c r="D248" s="55"/>
      <c r="E248" s="57"/>
      <c r="F248" s="55"/>
      <c r="G248" s="58"/>
      <c r="H248" s="58"/>
      <c r="I248" s="55"/>
      <c r="J248" s="55" t="b">
        <v>0</v>
      </c>
      <c r="K248" s="55"/>
      <c r="L248" s="55"/>
      <c r="M248" s="55" t="b">
        <v>0</v>
      </c>
      <c r="N248" s="55"/>
    </row>
    <row r="249">
      <c r="A249" s="60"/>
      <c r="B249" s="60"/>
      <c r="C249" s="60"/>
      <c r="D249" s="60"/>
      <c r="E249" s="61"/>
      <c r="F249" s="60"/>
      <c r="G249" s="62"/>
      <c r="H249" s="62"/>
      <c r="I249" s="60"/>
      <c r="J249" s="60" t="b">
        <v>0</v>
      </c>
      <c r="K249" s="60"/>
      <c r="L249" s="60"/>
      <c r="M249" s="60" t="b">
        <v>0</v>
      </c>
      <c r="N249" s="60"/>
    </row>
    <row r="250">
      <c r="A250" s="55"/>
      <c r="B250" s="55"/>
      <c r="C250" s="55"/>
      <c r="D250" s="55"/>
      <c r="E250" s="57"/>
      <c r="F250" s="55"/>
      <c r="G250" s="58"/>
      <c r="H250" s="58"/>
      <c r="I250" s="55"/>
      <c r="J250" s="55" t="b">
        <v>0</v>
      </c>
      <c r="K250" s="55"/>
      <c r="L250" s="55"/>
      <c r="M250" s="55" t="b">
        <v>0</v>
      </c>
      <c r="N250" s="55"/>
    </row>
  </sheetData>
  <autoFilter ref="$A$13:$N$250"/>
  <mergeCells count="21">
    <mergeCell ref="I6:J6"/>
    <mergeCell ref="K6:L6"/>
    <mergeCell ref="A1:N2"/>
    <mergeCell ref="A3:N3"/>
    <mergeCell ref="A4:N4"/>
    <mergeCell ref="C6:D6"/>
    <mergeCell ref="E6:F6"/>
    <mergeCell ref="G6:H6"/>
    <mergeCell ref="M6:N6"/>
    <mergeCell ref="E7:F7"/>
    <mergeCell ref="A9:G9"/>
    <mergeCell ref="H9:N9"/>
    <mergeCell ref="A10:G11"/>
    <mergeCell ref="H10:N11"/>
    <mergeCell ref="A6:B6"/>
    <mergeCell ref="A7:B7"/>
    <mergeCell ref="C7:D7"/>
    <mergeCell ref="G7:H7"/>
    <mergeCell ref="I7:J7"/>
    <mergeCell ref="K7:L7"/>
    <mergeCell ref="M7:N7"/>
  </mergeCells>
  <conditionalFormatting sqref="C14:C250">
    <cfRule type="expression" dxfId="1" priority="1" stopIfTrue="1">
      <formula>$C14="Done"</formula>
    </cfRule>
  </conditionalFormatting>
  <conditionalFormatting sqref="C14:C250">
    <cfRule type="expression" dxfId="2" priority="2" stopIfTrue="1">
      <formula>$C14="Planned"</formula>
    </cfRule>
  </conditionalFormatting>
  <conditionalFormatting sqref="C14:C250">
    <cfRule type="expression" dxfId="3" priority="3" stopIfTrue="1">
      <formula>$C14="Wishlist"</formula>
    </cfRule>
  </conditionalFormatting>
  <dataValidations>
    <dataValidation type="custom" allowBlank="1" sqref="E14:E250">
      <formula1>OR(NOT(ISERROR(DATEVALUE(E14))), AND(ISNUMBER(E14), LEFT(CELL("format", E14))="D"))</formula1>
    </dataValidation>
    <dataValidation type="list" allowBlank="1" showErrorMessage="1" sqref="I14:I250">
      <formula1>"1,2,3,4,5"</formula1>
    </dataValidation>
    <dataValidation type="list" allowBlank="1" showErrorMessage="1" sqref="B14:B250">
      <formula1>"Day Trip,Outdoors,Food,Culture,Thrill,Relax,Family,Date,Solo,Travel,Event,Other"</formula1>
    </dataValidation>
    <dataValidation type="list" allowBlank="1" showErrorMessage="1" sqref="C14:C250">
      <formula1>"Wishlist,Planned,Done,Maybe"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7" width="11.13"/>
    <col customWidth="1" min="8" max="8" width="15.25"/>
    <col customWidth="1" min="9" max="14" width="11.13"/>
  </cols>
  <sheetData>
    <row r="1">
      <c r="A1" s="69" t="s">
        <v>97</v>
      </c>
    </row>
    <row r="3">
      <c r="A3" s="9" t="s">
        <v>101</v>
      </c>
    </row>
    <row r="4">
      <c r="A4" s="9" t="s">
        <v>102</v>
      </c>
    </row>
    <row r="6">
      <c r="A6" s="72" t="s">
        <v>57</v>
      </c>
      <c r="B6" s="72" t="s">
        <v>105</v>
      </c>
      <c r="C6" s="23"/>
      <c r="D6" s="23"/>
      <c r="E6" s="23"/>
      <c r="F6" s="23"/>
      <c r="G6" s="72" t="s">
        <v>27</v>
      </c>
      <c r="H6" s="72" t="str">
        <f t="array" ref="H6">IFERROR(INDEX('ADVENTURE JOURNAL'!$I$14:$I$250,MATCH($B$6,'ADVENTURE JOURNAL'!$A$14:$A$250,0)),"")</f>
        <v/>
      </c>
      <c r="I6" s="72" t="s">
        <v>31</v>
      </c>
      <c r="J6" s="72" t="str">
        <f t="array" ref="J6">IFERROR(IF(INDEX('ADVENTURE JOURNAL'!$J$14:$J$250,MATCH($B$6,'ADVENTURE JOURNAL'!$A$14:$A$250,0)),"♡ Yes",""),"")</f>
        <v/>
      </c>
      <c r="K6" s="23"/>
      <c r="L6" s="23"/>
      <c r="M6" s="23"/>
      <c r="N6" s="23"/>
    </row>
    <row r="7">
      <c r="A7" s="72" t="s">
        <v>61</v>
      </c>
      <c r="B7" s="72" t="str">
        <f t="array" ref="B7">IFERROR(INDEX('ADVENTURE JOURNAL'!$D$14:$D$250,MATCH($B$6,'ADVENTURE JOURNAL'!$A$14:$A$250,0)),"")</f>
        <v/>
      </c>
      <c r="C7" s="23"/>
      <c r="D7" s="23"/>
      <c r="E7" s="72" t="s">
        <v>62</v>
      </c>
      <c r="F7" s="72" t="str">
        <f t="array" ref="F7">IFERROR(INDEX('ADVENTURE JOURNAL'!$E$14:$E$250,MATCH($B$6,'ADVENTURE JOURNAL'!$A$14:$A$250,0)),"")</f>
        <v/>
      </c>
      <c r="G7" s="23"/>
      <c r="H7" s="72" t="s">
        <v>63</v>
      </c>
      <c r="I7" s="72" t="str">
        <f t="array" ref="I7">IFERROR(INDEX('ADVENTURE JOURNAL'!$F$14:$F$250,MATCH($B$6,'ADVENTURE JOURNAL'!$A$14:$A$250,0)),"")</f>
        <v/>
      </c>
      <c r="J7" s="23"/>
      <c r="K7" s="23"/>
      <c r="L7" s="23"/>
      <c r="M7" s="23"/>
      <c r="N7" s="23"/>
    </row>
    <row r="8">
      <c r="A8" s="78" t="s">
        <v>109</v>
      </c>
    </row>
    <row r="9">
      <c r="A9" s="79" t="s">
        <v>110</v>
      </c>
    </row>
    <row r="10">
      <c r="A10" s="80" t="s">
        <v>111</v>
      </c>
    </row>
    <row r="11" ht="24.0" customHeight="1">
      <c r="A11" s="82"/>
      <c r="B11" s="83"/>
      <c r="C11" s="83"/>
      <c r="D11" s="83"/>
      <c r="E11" s="83"/>
      <c r="F11" s="83"/>
      <c r="G11" s="83"/>
      <c r="H11" s="83"/>
      <c r="I11" s="83"/>
      <c r="J11" s="83"/>
      <c r="K11" s="83"/>
      <c r="L11" s="83"/>
      <c r="M11" s="83"/>
      <c r="N11" s="84"/>
    </row>
    <row r="12" ht="24.0" customHeight="1">
      <c r="A12" s="85"/>
      <c r="N12" s="86"/>
    </row>
    <row r="13" ht="24.0" customHeight="1">
      <c r="A13" s="88"/>
      <c r="B13" s="23"/>
      <c r="C13" s="23"/>
      <c r="D13" s="23"/>
      <c r="E13" s="23"/>
      <c r="F13" s="23"/>
      <c r="G13" s="23"/>
      <c r="H13" s="23"/>
      <c r="I13" s="23"/>
      <c r="J13" s="23"/>
      <c r="K13" s="23"/>
      <c r="L13" s="23"/>
      <c r="M13" s="23"/>
      <c r="N13" s="89"/>
    </row>
    <row r="14">
      <c r="A14" s="80" t="s">
        <v>116</v>
      </c>
      <c r="B14" s="80"/>
      <c r="C14" s="80"/>
      <c r="D14" s="80"/>
      <c r="E14" s="80"/>
      <c r="F14" s="80"/>
      <c r="G14" s="80"/>
      <c r="H14" s="80" t="s">
        <v>117</v>
      </c>
      <c r="I14" s="80"/>
      <c r="J14" s="80"/>
      <c r="K14" s="80"/>
      <c r="L14" s="80"/>
      <c r="M14" s="80"/>
      <c r="N14" s="80"/>
    </row>
    <row r="15" ht="28.5" customHeight="1">
      <c r="A15" s="90" t="s">
        <v>118</v>
      </c>
      <c r="B15" s="91"/>
      <c r="C15" s="91"/>
      <c r="D15" s="91"/>
      <c r="E15" s="91"/>
      <c r="F15" s="92"/>
      <c r="G15" s="93"/>
      <c r="H15" s="94" t="s">
        <v>119</v>
      </c>
      <c r="I15" s="91"/>
      <c r="J15" s="91"/>
      <c r="K15" s="91"/>
      <c r="L15" s="91"/>
      <c r="M15" s="91"/>
      <c r="N15" s="92"/>
    </row>
    <row r="16" ht="21.0" customHeight="1">
      <c r="A16" s="96" t="s">
        <v>120</v>
      </c>
      <c r="B16" s="97"/>
      <c r="C16" s="97"/>
      <c r="D16" s="97"/>
      <c r="E16" s="97"/>
      <c r="F16" s="98"/>
      <c r="G16" s="99"/>
      <c r="H16" s="96" t="s">
        <v>121</v>
      </c>
      <c r="I16" s="97"/>
      <c r="J16" s="97"/>
      <c r="K16" s="97"/>
      <c r="L16" s="97"/>
      <c r="M16" s="97"/>
      <c r="N16" s="98"/>
    </row>
    <row r="17" ht="21.0" customHeight="1">
      <c r="A17" s="101"/>
      <c r="F17" s="102"/>
      <c r="G17" s="103"/>
      <c r="H17" s="101"/>
      <c r="N17" s="102"/>
    </row>
    <row r="18" ht="21.0" customHeight="1">
      <c r="A18" s="101"/>
      <c r="F18" s="102"/>
      <c r="G18" s="103"/>
      <c r="H18" s="101"/>
      <c r="N18" s="102"/>
    </row>
    <row r="19" ht="21.0" customHeight="1">
      <c r="A19" s="101"/>
      <c r="F19" s="102"/>
      <c r="G19" s="103"/>
      <c r="H19" s="101"/>
      <c r="N19" s="102"/>
    </row>
    <row r="20" ht="21.0" customHeight="1">
      <c r="A20" s="104"/>
      <c r="B20" s="105"/>
      <c r="C20" s="105"/>
      <c r="D20" s="105"/>
      <c r="E20" s="105"/>
      <c r="F20" s="106"/>
      <c r="G20" s="107"/>
      <c r="H20" s="104"/>
      <c r="I20" s="105"/>
      <c r="J20" s="105"/>
      <c r="K20" s="105"/>
      <c r="L20" s="105"/>
      <c r="M20" s="105"/>
      <c r="N20" s="106"/>
    </row>
    <row r="21" ht="6.75" customHeight="1">
      <c r="A21" s="93"/>
      <c r="B21" s="93"/>
      <c r="C21" s="93"/>
      <c r="D21" s="93"/>
      <c r="E21" s="93"/>
      <c r="F21" s="93"/>
      <c r="G21" s="93"/>
      <c r="H21" s="93"/>
      <c r="I21" s="93"/>
      <c r="J21" s="93"/>
      <c r="K21" s="93"/>
      <c r="L21" s="93"/>
      <c r="M21" s="93"/>
      <c r="N21" s="93"/>
    </row>
    <row r="22" ht="22.5" customHeight="1">
      <c r="A22" s="108" t="s">
        <v>125</v>
      </c>
    </row>
    <row r="23" ht="22.5" customHeight="1">
      <c r="A23" s="109" t="s">
        <v>128</v>
      </c>
      <c r="B23" s="105"/>
      <c r="C23" s="105"/>
      <c r="D23" s="105"/>
      <c r="E23" s="105"/>
      <c r="F23" s="105"/>
      <c r="G23" s="110"/>
      <c r="H23" s="109" t="s">
        <v>131</v>
      </c>
      <c r="I23" s="105"/>
      <c r="J23" s="105"/>
      <c r="K23" s="105"/>
      <c r="L23" s="105"/>
      <c r="M23" s="105"/>
      <c r="N23" s="105"/>
    </row>
    <row r="24" ht="21.0" customHeight="1">
      <c r="A24" s="96" t="s">
        <v>133</v>
      </c>
      <c r="B24" s="97"/>
      <c r="C24" s="97"/>
      <c r="D24" s="97"/>
      <c r="E24" s="97"/>
      <c r="F24" s="98"/>
      <c r="G24" s="111"/>
      <c r="H24" s="96" t="s">
        <v>135</v>
      </c>
      <c r="I24" s="97"/>
      <c r="J24" s="97"/>
      <c r="K24" s="97"/>
      <c r="L24" s="97"/>
      <c r="M24" s="97"/>
      <c r="N24" s="98"/>
    </row>
    <row r="25" ht="21.0" customHeight="1">
      <c r="A25" s="101"/>
      <c r="F25" s="102"/>
      <c r="G25" s="103"/>
      <c r="H25" s="101"/>
      <c r="N25" s="102"/>
    </row>
    <row r="26" ht="21.0" customHeight="1">
      <c r="A26" s="101"/>
      <c r="F26" s="102"/>
      <c r="G26" s="103"/>
      <c r="H26" s="101"/>
      <c r="N26" s="102"/>
    </row>
    <row r="27" ht="21.0" customHeight="1">
      <c r="A27" s="101"/>
      <c r="F27" s="102"/>
      <c r="G27" s="107"/>
      <c r="H27" s="101"/>
      <c r="N27" s="102"/>
    </row>
    <row r="28">
      <c r="A28" s="104"/>
      <c r="B28" s="105"/>
      <c r="C28" s="105"/>
      <c r="D28" s="105"/>
      <c r="E28" s="105"/>
      <c r="F28" s="106"/>
      <c r="G28" s="93"/>
      <c r="H28" s="104"/>
      <c r="I28" s="105"/>
      <c r="J28" s="105"/>
      <c r="K28" s="105"/>
      <c r="L28" s="105"/>
      <c r="M28" s="105"/>
      <c r="N28" s="106"/>
    </row>
    <row r="29" ht="6.75" customHeight="1">
      <c r="A29" s="112"/>
      <c r="B29" s="93"/>
      <c r="C29" s="93"/>
      <c r="D29" s="93"/>
      <c r="E29" s="93"/>
      <c r="F29" s="93"/>
      <c r="G29" s="93"/>
      <c r="H29" s="112"/>
      <c r="I29" s="93"/>
      <c r="J29" s="93"/>
      <c r="K29" s="93"/>
      <c r="L29" s="93"/>
      <c r="M29" s="93"/>
      <c r="N29" s="93"/>
    </row>
    <row r="30" ht="28.5" customHeight="1">
      <c r="A30" s="109" t="s">
        <v>136</v>
      </c>
      <c r="B30" s="105"/>
      <c r="C30" s="105"/>
      <c r="D30" s="105"/>
      <c r="E30" s="105"/>
      <c r="F30" s="105"/>
      <c r="G30" s="113"/>
      <c r="H30" s="109" t="s">
        <v>137</v>
      </c>
      <c r="I30" s="105"/>
      <c r="J30" s="105"/>
      <c r="K30" s="105"/>
      <c r="L30" s="105"/>
      <c r="M30" s="105"/>
      <c r="N30" s="105"/>
    </row>
    <row r="31" ht="22.5" customHeight="1">
      <c r="A31" s="96" t="s">
        <v>138</v>
      </c>
      <c r="B31" s="97"/>
      <c r="C31" s="97"/>
      <c r="D31" s="97"/>
      <c r="E31" s="97"/>
      <c r="F31" s="98"/>
      <c r="G31" s="114"/>
      <c r="H31" s="96" t="s">
        <v>139</v>
      </c>
      <c r="I31" s="97"/>
      <c r="J31" s="97"/>
      <c r="K31" s="97"/>
      <c r="L31" s="97"/>
      <c r="M31" s="97"/>
      <c r="N31" s="98"/>
    </row>
    <row r="32" ht="22.5" customHeight="1">
      <c r="A32" s="101"/>
      <c r="F32" s="102"/>
      <c r="G32" s="115"/>
      <c r="H32" s="101"/>
      <c r="N32" s="102"/>
    </row>
    <row r="33" ht="22.5" customHeight="1">
      <c r="A33" s="101"/>
      <c r="F33" s="102"/>
      <c r="G33" s="115"/>
      <c r="H33" s="101"/>
      <c r="N33" s="102"/>
    </row>
    <row r="34" ht="22.5" customHeight="1">
      <c r="A34" s="101"/>
      <c r="F34" s="102"/>
      <c r="G34" s="116"/>
      <c r="H34" s="101"/>
      <c r="N34" s="102"/>
    </row>
    <row r="35">
      <c r="A35" s="104"/>
      <c r="B35" s="105"/>
      <c r="C35" s="105"/>
      <c r="D35" s="105"/>
      <c r="E35" s="105"/>
      <c r="F35" s="106"/>
      <c r="G35" s="93"/>
      <c r="H35" s="104"/>
      <c r="I35" s="105"/>
      <c r="J35" s="105"/>
      <c r="K35" s="105"/>
      <c r="L35" s="105"/>
      <c r="M35" s="105"/>
      <c r="N35" s="106"/>
    </row>
    <row r="36" ht="6.75" customHeight="1">
      <c r="A36" s="93"/>
      <c r="B36" s="93"/>
      <c r="C36" s="93"/>
      <c r="D36" s="93"/>
      <c r="E36" s="93"/>
      <c r="F36" s="93"/>
      <c r="G36" s="93"/>
      <c r="H36" s="93"/>
      <c r="I36" s="93"/>
      <c r="J36" s="93"/>
      <c r="K36" s="93"/>
      <c r="L36" s="93"/>
      <c r="M36" s="93"/>
      <c r="N36" s="93"/>
    </row>
    <row r="37" ht="28.5" customHeight="1">
      <c r="A37" s="109" t="s">
        <v>140</v>
      </c>
      <c r="B37" s="105"/>
      <c r="C37" s="105"/>
      <c r="D37" s="105"/>
      <c r="E37" s="105"/>
      <c r="F37" s="105"/>
      <c r="G37" s="110"/>
      <c r="H37" s="109" t="s">
        <v>141</v>
      </c>
      <c r="I37" s="105"/>
      <c r="J37" s="105"/>
      <c r="K37" s="105"/>
      <c r="L37" s="105"/>
      <c r="M37" s="105"/>
      <c r="N37" s="105"/>
    </row>
    <row r="38" ht="21.0" customHeight="1">
      <c r="A38" s="96" t="s">
        <v>142</v>
      </c>
      <c r="B38" s="97"/>
      <c r="C38" s="97"/>
      <c r="D38" s="97"/>
      <c r="E38" s="97"/>
      <c r="F38" s="98"/>
      <c r="G38" s="111"/>
      <c r="H38" s="96" t="s">
        <v>143</v>
      </c>
      <c r="I38" s="97"/>
      <c r="J38" s="97"/>
      <c r="K38" s="97"/>
      <c r="L38" s="97"/>
      <c r="M38" s="97"/>
      <c r="N38" s="98"/>
    </row>
    <row r="39" ht="21.0" customHeight="1">
      <c r="A39" s="101"/>
      <c r="F39" s="102"/>
      <c r="G39" s="103"/>
      <c r="H39" s="101"/>
      <c r="N39" s="102"/>
    </row>
    <row r="40" ht="21.0" customHeight="1">
      <c r="A40" s="101"/>
      <c r="F40" s="102"/>
      <c r="G40" s="103"/>
      <c r="H40" s="101"/>
      <c r="N40" s="102"/>
    </row>
    <row r="41" ht="21.0" customHeight="1">
      <c r="A41" s="101"/>
      <c r="F41" s="102"/>
      <c r="G41" s="107"/>
      <c r="H41" s="101"/>
      <c r="N41" s="102"/>
    </row>
    <row r="42">
      <c r="A42" s="104"/>
      <c r="B42" s="105"/>
      <c r="C42" s="105"/>
      <c r="D42" s="105"/>
      <c r="E42" s="105"/>
      <c r="F42" s="106"/>
      <c r="G42" s="93"/>
      <c r="H42" s="104"/>
      <c r="I42" s="105"/>
      <c r="J42" s="105"/>
      <c r="K42" s="105"/>
      <c r="L42" s="105"/>
      <c r="M42" s="105"/>
      <c r="N42" s="106"/>
    </row>
    <row r="43" ht="6.75" customHeight="1">
      <c r="A43" s="93"/>
      <c r="B43" s="93"/>
      <c r="C43" s="93"/>
      <c r="D43" s="93"/>
      <c r="E43" s="93"/>
      <c r="F43" s="93"/>
      <c r="G43" s="93"/>
      <c r="H43" s="93"/>
      <c r="I43" s="93"/>
      <c r="J43" s="93"/>
      <c r="K43" s="93"/>
      <c r="L43" s="93"/>
      <c r="M43" s="93"/>
      <c r="N43" s="93"/>
    </row>
    <row r="44" ht="28.5" customHeight="1">
      <c r="A44" s="109" t="s">
        <v>144</v>
      </c>
      <c r="B44" s="105"/>
      <c r="C44" s="105"/>
      <c r="D44" s="105"/>
      <c r="E44" s="105"/>
      <c r="F44" s="105"/>
      <c r="G44" s="121"/>
      <c r="H44" s="109" t="s">
        <v>145</v>
      </c>
      <c r="I44" s="105"/>
      <c r="J44" s="105"/>
      <c r="K44" s="105"/>
      <c r="L44" s="105"/>
      <c r="M44" s="105"/>
      <c r="N44" s="105"/>
    </row>
    <row r="45" ht="21.0" customHeight="1">
      <c r="A45" s="96" t="s">
        <v>146</v>
      </c>
      <c r="B45" s="97"/>
      <c r="C45" s="97"/>
      <c r="D45" s="97"/>
      <c r="E45" s="97"/>
      <c r="F45" s="98"/>
      <c r="G45" s="125"/>
      <c r="H45" s="96" t="s">
        <v>147</v>
      </c>
      <c r="I45" s="97"/>
      <c r="J45" s="97"/>
      <c r="K45" s="97"/>
      <c r="L45" s="97"/>
      <c r="M45" s="97"/>
      <c r="N45" s="98"/>
    </row>
    <row r="46" ht="21.0" customHeight="1">
      <c r="A46" s="101"/>
      <c r="F46" s="102"/>
      <c r="G46" s="93"/>
      <c r="H46" s="101"/>
      <c r="N46" s="102"/>
    </row>
    <row r="47" ht="21.0" customHeight="1">
      <c r="A47" s="101"/>
      <c r="F47" s="102"/>
      <c r="G47" s="126"/>
      <c r="H47" s="101"/>
      <c r="N47" s="102"/>
    </row>
    <row r="48">
      <c r="A48" s="101"/>
      <c r="F48" s="102"/>
      <c r="G48" s="93"/>
      <c r="H48" s="101"/>
      <c r="N48" s="102"/>
    </row>
    <row r="49">
      <c r="A49" s="104"/>
      <c r="B49" s="105"/>
      <c r="C49" s="105"/>
      <c r="D49" s="105"/>
      <c r="E49" s="105"/>
      <c r="F49" s="106"/>
      <c r="G49" s="93"/>
      <c r="H49" s="104"/>
      <c r="I49" s="105"/>
      <c r="J49" s="105"/>
      <c r="K49" s="105"/>
      <c r="L49" s="105"/>
      <c r="M49" s="105"/>
      <c r="N49" s="106"/>
    </row>
    <row r="50" ht="6.75" customHeight="1">
      <c r="A50" s="93"/>
      <c r="B50" s="93"/>
      <c r="C50" s="93"/>
      <c r="D50" s="93"/>
      <c r="E50" s="93"/>
      <c r="F50" s="93"/>
      <c r="G50" s="93"/>
      <c r="H50" s="93"/>
      <c r="I50" s="93"/>
      <c r="J50" s="93"/>
      <c r="K50" s="93"/>
      <c r="L50" s="93"/>
      <c r="M50" s="93"/>
      <c r="N50" s="93"/>
    </row>
    <row r="51" ht="22.5" customHeight="1">
      <c r="A51" s="127" t="s">
        <v>148</v>
      </c>
    </row>
    <row r="52">
      <c r="A52" s="96" t="s">
        <v>149</v>
      </c>
      <c r="B52" s="97"/>
      <c r="C52" s="97"/>
      <c r="D52" s="97"/>
      <c r="E52" s="97"/>
      <c r="F52" s="97"/>
      <c r="G52" s="97"/>
      <c r="H52" s="97"/>
      <c r="I52" s="97"/>
      <c r="J52" s="97"/>
      <c r="K52" s="97"/>
      <c r="L52" s="97"/>
      <c r="M52" s="97"/>
      <c r="N52" s="98"/>
    </row>
    <row r="53">
      <c r="A53" s="101"/>
      <c r="N53" s="102"/>
    </row>
    <row r="54">
      <c r="A54" s="101"/>
      <c r="N54" s="102"/>
    </row>
    <row r="55">
      <c r="A55" s="101"/>
      <c r="N55" s="102"/>
    </row>
    <row r="56">
      <c r="A56" s="101"/>
      <c r="N56" s="102"/>
    </row>
    <row r="57">
      <c r="A57" s="104"/>
      <c r="B57" s="105"/>
      <c r="C57" s="105"/>
      <c r="D57" s="105"/>
      <c r="E57" s="105"/>
      <c r="F57" s="105"/>
      <c r="G57" s="105"/>
      <c r="H57" s="105"/>
      <c r="I57" s="105"/>
      <c r="J57" s="105"/>
      <c r="K57" s="105"/>
      <c r="L57" s="105"/>
      <c r="M57" s="105"/>
      <c r="N57" s="106"/>
    </row>
    <row r="58" ht="6.75" customHeight="1">
      <c r="A58" s="93"/>
      <c r="B58" s="93"/>
      <c r="C58" s="93"/>
      <c r="D58" s="93"/>
      <c r="E58" s="93"/>
      <c r="F58" s="93"/>
      <c r="G58" s="93"/>
      <c r="H58" s="93"/>
      <c r="I58" s="93"/>
      <c r="J58" s="93"/>
      <c r="K58" s="93"/>
      <c r="L58" s="93"/>
      <c r="M58" s="93"/>
      <c r="N58" s="93"/>
    </row>
    <row r="59" ht="31.5" customHeight="1">
      <c r="A59" s="131" t="s">
        <v>150</v>
      </c>
      <c r="B59" s="105"/>
      <c r="C59" s="105"/>
      <c r="D59" s="105"/>
      <c r="E59" s="105"/>
      <c r="F59" s="105"/>
      <c r="G59" s="93"/>
      <c r="H59" s="133" t="s">
        <v>152</v>
      </c>
      <c r="I59" s="105"/>
      <c r="J59" s="105"/>
      <c r="K59" s="105"/>
      <c r="L59" s="105"/>
      <c r="M59" s="105"/>
      <c r="N59" s="105"/>
    </row>
    <row r="60">
      <c r="A60" s="96" t="s">
        <v>153</v>
      </c>
      <c r="B60" s="97"/>
      <c r="C60" s="97"/>
      <c r="D60" s="97"/>
      <c r="E60" s="97"/>
      <c r="F60" s="98"/>
      <c r="G60" s="125"/>
      <c r="H60" s="96" t="s">
        <v>155</v>
      </c>
      <c r="I60" s="97"/>
      <c r="J60" s="97"/>
      <c r="K60" s="97"/>
      <c r="L60" s="97"/>
      <c r="M60" s="97"/>
      <c r="N60" s="98"/>
    </row>
    <row r="61">
      <c r="A61" s="101"/>
      <c r="F61" s="102"/>
      <c r="G61" s="93"/>
      <c r="H61" s="101"/>
      <c r="N61" s="102"/>
    </row>
    <row r="62">
      <c r="A62" s="101"/>
      <c r="F62" s="102"/>
      <c r="G62" s="93"/>
      <c r="H62" s="101"/>
      <c r="N62" s="102"/>
    </row>
    <row r="63">
      <c r="A63" s="101"/>
      <c r="F63" s="102"/>
      <c r="G63" s="93"/>
      <c r="H63" s="101"/>
      <c r="N63" s="102"/>
    </row>
    <row r="64">
      <c r="A64" s="104"/>
      <c r="B64" s="105"/>
      <c r="C64" s="105"/>
      <c r="D64" s="105"/>
      <c r="E64" s="105"/>
      <c r="F64" s="106"/>
      <c r="G64" s="93"/>
      <c r="H64" s="104"/>
      <c r="I64" s="105"/>
      <c r="J64" s="105"/>
      <c r="K64" s="105"/>
      <c r="L64" s="105"/>
      <c r="M64" s="105"/>
      <c r="N64" s="106"/>
    </row>
    <row r="65" ht="6.75" customHeight="1">
      <c r="A65" s="93"/>
      <c r="B65" s="93"/>
      <c r="C65" s="93"/>
      <c r="D65" s="93"/>
      <c r="E65" s="93"/>
      <c r="F65" s="93"/>
      <c r="G65" s="93"/>
      <c r="H65" s="93"/>
      <c r="I65" s="93"/>
      <c r="J65" s="93"/>
      <c r="K65" s="93"/>
      <c r="L65" s="93"/>
      <c r="M65" s="93"/>
      <c r="N65" s="93"/>
    </row>
    <row r="66" ht="31.5" customHeight="1">
      <c r="A66" s="135" t="s">
        <v>156</v>
      </c>
    </row>
    <row r="67">
      <c r="A67" s="137"/>
      <c r="B67" s="97"/>
      <c r="C67" s="97"/>
      <c r="D67" s="97"/>
      <c r="E67" s="97"/>
      <c r="F67" s="97"/>
      <c r="G67" s="97"/>
      <c r="H67" s="97"/>
      <c r="I67" s="97"/>
      <c r="J67" s="97"/>
      <c r="K67" s="97"/>
      <c r="L67" s="97"/>
      <c r="M67" s="97"/>
      <c r="N67" s="98"/>
    </row>
    <row r="68">
      <c r="A68" s="101"/>
      <c r="N68" s="102"/>
    </row>
    <row r="69">
      <c r="A69" s="101"/>
      <c r="N69" s="102"/>
    </row>
    <row r="70">
      <c r="A70" s="104"/>
      <c r="B70" s="105"/>
      <c r="C70" s="105"/>
      <c r="D70" s="105"/>
      <c r="E70" s="105"/>
      <c r="F70" s="105"/>
      <c r="G70" s="105"/>
      <c r="H70" s="105"/>
      <c r="I70" s="105"/>
      <c r="J70" s="105"/>
      <c r="K70" s="105"/>
      <c r="L70" s="105"/>
      <c r="M70" s="105"/>
      <c r="N70" s="106"/>
    </row>
  </sheetData>
  <mergeCells count="41">
    <mergeCell ref="A1:N2"/>
    <mergeCell ref="A3:N3"/>
    <mergeCell ref="A4:N4"/>
    <mergeCell ref="B6:F6"/>
    <mergeCell ref="J6:N6"/>
    <mergeCell ref="B7:D7"/>
    <mergeCell ref="F7:G7"/>
    <mergeCell ref="H15:N15"/>
    <mergeCell ref="H16:N20"/>
    <mergeCell ref="I7:N7"/>
    <mergeCell ref="A8:N8"/>
    <mergeCell ref="A9:N9"/>
    <mergeCell ref="A10:N10"/>
    <mergeCell ref="A11:N13"/>
    <mergeCell ref="A15:F15"/>
    <mergeCell ref="A16:F20"/>
    <mergeCell ref="H30:N30"/>
    <mergeCell ref="H31:N35"/>
    <mergeCell ref="A22:N22"/>
    <mergeCell ref="A23:F23"/>
    <mergeCell ref="H23:N23"/>
    <mergeCell ref="A24:F28"/>
    <mergeCell ref="H24:N28"/>
    <mergeCell ref="A30:F30"/>
    <mergeCell ref="A31:F35"/>
    <mergeCell ref="A37:F37"/>
    <mergeCell ref="H37:N37"/>
    <mergeCell ref="A38:F42"/>
    <mergeCell ref="H38:N42"/>
    <mergeCell ref="A44:F44"/>
    <mergeCell ref="H44:N44"/>
    <mergeCell ref="A45:F49"/>
    <mergeCell ref="A66:N66"/>
    <mergeCell ref="A67:N70"/>
    <mergeCell ref="H45:N49"/>
    <mergeCell ref="A51:N51"/>
    <mergeCell ref="A52:N57"/>
    <mergeCell ref="A59:F59"/>
    <mergeCell ref="H59:N59"/>
    <mergeCell ref="A60:F64"/>
    <mergeCell ref="H60:N64"/>
  </mergeCells>
  <dataValidations>
    <dataValidation type="list" allowBlank="1" sqref="B6">
      <formula1>'ADVENTURE JOURNAL'!$A$14:$A$250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3" width="13.88"/>
    <col customWidth="1" min="4" max="8" width="12.0"/>
    <col customWidth="1" min="9" max="12" width="18.25"/>
    <col customWidth="1" min="14" max="25" width="7.38"/>
    <col customWidth="1" min="26" max="26" width="2.38"/>
  </cols>
  <sheetData>
    <row r="1">
      <c r="A1" s="69" t="s">
        <v>106</v>
      </c>
    </row>
    <row r="3">
      <c r="A3" s="9" t="s">
        <v>107</v>
      </c>
    </row>
    <row r="4">
      <c r="A4" s="77" t="s">
        <v>108</v>
      </c>
    </row>
    <row r="5">
      <c r="N5" s="81"/>
      <c r="O5" s="81"/>
      <c r="P5" s="81"/>
      <c r="Q5" s="81"/>
      <c r="R5" s="81"/>
      <c r="S5" s="81"/>
      <c r="T5" s="81"/>
      <c r="U5" s="81"/>
      <c r="V5" s="81"/>
      <c r="W5" s="81"/>
      <c r="X5" s="81"/>
      <c r="Y5" s="81"/>
      <c r="Z5" s="81"/>
    </row>
    <row r="6">
      <c r="A6" s="14" t="s">
        <v>112</v>
      </c>
      <c r="C6" s="14" t="s">
        <v>113</v>
      </c>
      <c r="E6" s="14" t="s">
        <v>114</v>
      </c>
      <c r="G6" s="14" t="s">
        <v>15</v>
      </c>
      <c r="I6" s="14" t="s">
        <v>16</v>
      </c>
      <c r="K6" s="14" t="s">
        <v>115</v>
      </c>
      <c r="N6" s="87"/>
      <c r="O6" s="87"/>
      <c r="P6" s="87"/>
      <c r="Q6" s="87"/>
      <c r="R6" s="87"/>
      <c r="S6" s="87"/>
      <c r="T6" s="87"/>
      <c r="U6" s="87"/>
      <c r="V6" s="81"/>
      <c r="W6" s="81"/>
      <c r="X6" s="81"/>
      <c r="Y6" s="81"/>
      <c r="Z6" s="81"/>
    </row>
    <row r="7">
      <c r="A7" s="22">
        <f>COUNTA($A$13:$A$250)</f>
        <v>0</v>
      </c>
      <c r="B7" s="23"/>
      <c r="C7" s="22">
        <f>COUNTIF($H$12:$H$250,"Unused")</f>
        <v>0</v>
      </c>
      <c r="D7" s="23"/>
      <c r="E7" s="22">
        <f>COUNTIF($H$12:$H$250,"Used")</f>
        <v>0</v>
      </c>
      <c r="F7" s="23"/>
      <c r="G7" s="22">
        <f>COUNTIF($K$12:$K$250,TRUE)</f>
        <v>0</v>
      </c>
      <c r="H7" s="23"/>
      <c r="I7" s="33">
        <f>SUM($E$12:$E$250)</f>
        <v>0</v>
      </c>
      <c r="J7" s="23"/>
      <c r="K7" s="22">
        <f>SUM($J$12:$J$250)</f>
        <v>0</v>
      </c>
      <c r="L7" s="23"/>
      <c r="N7" s="95"/>
      <c r="O7" s="95"/>
      <c r="P7" s="95"/>
      <c r="Q7" s="95"/>
      <c r="R7" s="95"/>
      <c r="S7" s="95"/>
      <c r="T7" s="95"/>
      <c r="U7" s="95"/>
      <c r="V7" s="81"/>
      <c r="W7" s="81"/>
      <c r="X7" s="81"/>
      <c r="Y7" s="81"/>
      <c r="Z7" s="81"/>
    </row>
    <row r="8">
      <c r="N8" s="81"/>
      <c r="O8" s="81"/>
      <c r="P8" s="81"/>
      <c r="Q8" s="81"/>
      <c r="R8" s="81"/>
      <c r="S8" s="81"/>
      <c r="T8" s="81"/>
      <c r="U8" s="81"/>
      <c r="V8" s="81"/>
      <c r="W8" s="81"/>
      <c r="X8" s="81"/>
      <c r="Y8" s="81"/>
      <c r="Z8" s="81"/>
    </row>
    <row r="9" ht="54.0" customHeight="1">
      <c r="N9" s="100"/>
      <c r="O9" s="100"/>
      <c r="P9" s="100"/>
      <c r="Q9" s="100"/>
      <c r="R9" s="100"/>
      <c r="S9" s="100"/>
      <c r="T9" s="100"/>
      <c r="U9" s="100"/>
      <c r="V9" s="81"/>
      <c r="W9" s="81"/>
      <c r="X9" s="81"/>
      <c r="Y9" s="81"/>
      <c r="Z9" s="81"/>
    </row>
    <row r="10" ht="54.0" customHeight="1">
      <c r="N10" s="100"/>
      <c r="O10" s="100"/>
      <c r="P10" s="100"/>
      <c r="Q10" s="100"/>
      <c r="R10" s="100"/>
      <c r="S10" s="100"/>
      <c r="T10" s="100"/>
      <c r="U10" s="100"/>
      <c r="V10" s="81"/>
      <c r="W10" s="81"/>
      <c r="X10" s="81"/>
      <c r="Y10" s="81"/>
      <c r="Z10" s="81"/>
    </row>
    <row r="11" ht="38.25" customHeight="1">
      <c r="A11" s="52"/>
      <c r="B11" s="52"/>
      <c r="C11" s="52"/>
      <c r="D11" s="52"/>
      <c r="E11" s="52"/>
      <c r="F11" s="52"/>
      <c r="G11" s="52"/>
      <c r="H11" s="52"/>
      <c r="I11" s="52"/>
      <c r="J11" s="52"/>
      <c r="K11" s="52"/>
      <c r="L11" s="52"/>
      <c r="N11" s="100"/>
      <c r="O11" s="100"/>
      <c r="P11" s="100"/>
      <c r="Q11" s="100"/>
      <c r="R11" s="100"/>
      <c r="S11" s="100"/>
      <c r="T11" s="100"/>
      <c r="U11" s="100"/>
      <c r="V11" s="81"/>
      <c r="W11" s="81"/>
      <c r="X11" s="81"/>
      <c r="Y11" s="81"/>
      <c r="Z11" s="81"/>
    </row>
    <row r="12" ht="54.0" customHeight="1">
      <c r="A12" s="55" t="s">
        <v>122</v>
      </c>
      <c r="B12" s="55" t="s">
        <v>123</v>
      </c>
      <c r="C12" s="55" t="s">
        <v>124</v>
      </c>
      <c r="D12" s="57" t="s">
        <v>126</v>
      </c>
      <c r="E12" s="58" t="s">
        <v>127</v>
      </c>
      <c r="F12" s="55" t="s">
        <v>129</v>
      </c>
      <c r="G12" s="55" t="s">
        <v>130</v>
      </c>
      <c r="H12" s="55" t="s">
        <v>60</v>
      </c>
      <c r="I12" s="55" t="s">
        <v>132</v>
      </c>
      <c r="J12" s="55" t="s">
        <v>115</v>
      </c>
      <c r="K12" s="55" t="s">
        <v>67</v>
      </c>
      <c r="L12" s="55" t="s">
        <v>134</v>
      </c>
      <c r="N12" s="100"/>
      <c r="O12" s="100"/>
      <c r="P12" s="100"/>
      <c r="Q12" s="100"/>
      <c r="R12" s="100"/>
      <c r="S12" s="100"/>
      <c r="T12" s="100"/>
      <c r="U12" s="100"/>
      <c r="V12" s="81"/>
      <c r="W12" s="81"/>
      <c r="X12" s="81"/>
      <c r="Y12" s="81"/>
      <c r="Z12" s="81"/>
    </row>
    <row r="13" ht="54.0" customHeight="1">
      <c r="A13" s="60"/>
      <c r="B13" s="60"/>
      <c r="C13" s="60"/>
      <c r="D13" s="61"/>
      <c r="E13" s="62"/>
      <c r="F13" s="60"/>
      <c r="G13" s="60"/>
      <c r="H13" s="60"/>
      <c r="I13" s="60"/>
      <c r="J13" s="60"/>
      <c r="K13" s="60" t="b">
        <v>0</v>
      </c>
      <c r="L13" s="60"/>
      <c r="N13" s="100"/>
      <c r="O13" s="100"/>
      <c r="P13" s="100"/>
      <c r="Q13" s="100"/>
      <c r="R13" s="100"/>
      <c r="S13" s="100"/>
      <c r="T13" s="100"/>
      <c r="U13" s="100"/>
      <c r="V13" s="81"/>
      <c r="W13" s="81"/>
      <c r="X13" s="81"/>
      <c r="Y13" s="81"/>
      <c r="Z13" s="81"/>
    </row>
    <row r="14" ht="54.0" customHeight="1">
      <c r="A14" s="55"/>
      <c r="B14" s="55"/>
      <c r="C14" s="55"/>
      <c r="D14" s="57"/>
      <c r="E14" s="58"/>
      <c r="F14" s="55"/>
      <c r="G14" s="55"/>
      <c r="H14" s="55"/>
      <c r="I14" s="55"/>
      <c r="J14" s="55"/>
      <c r="K14" s="55" t="b">
        <v>0</v>
      </c>
      <c r="L14" s="55"/>
      <c r="N14" s="100"/>
      <c r="O14" s="100"/>
      <c r="P14" s="100"/>
      <c r="Q14" s="100"/>
      <c r="R14" s="100"/>
      <c r="S14" s="100"/>
      <c r="T14" s="100"/>
      <c r="U14" s="100"/>
      <c r="V14" s="81"/>
      <c r="W14" s="81"/>
      <c r="X14" s="81"/>
      <c r="Y14" s="81"/>
      <c r="Z14" s="81"/>
    </row>
    <row r="15" ht="54.0" customHeight="1">
      <c r="A15" s="60"/>
      <c r="B15" s="60"/>
      <c r="C15" s="60"/>
      <c r="D15" s="61"/>
      <c r="E15" s="62"/>
      <c r="F15" s="60"/>
      <c r="G15" s="60"/>
      <c r="H15" s="60"/>
      <c r="I15" s="60"/>
      <c r="J15" s="60"/>
      <c r="K15" s="60" t="b">
        <v>0</v>
      </c>
      <c r="L15" s="60"/>
      <c r="N15" s="100"/>
      <c r="O15" s="100"/>
      <c r="P15" s="100"/>
      <c r="Q15" s="100"/>
      <c r="R15" s="100"/>
      <c r="S15" s="100"/>
      <c r="T15" s="100"/>
      <c r="U15" s="100"/>
      <c r="V15" s="81"/>
      <c r="W15" s="81"/>
      <c r="X15" s="81"/>
      <c r="Y15" s="81"/>
      <c r="Z15" s="81"/>
    </row>
    <row r="16" ht="54.0" customHeight="1">
      <c r="A16" s="55"/>
      <c r="B16" s="55"/>
      <c r="C16" s="55"/>
      <c r="D16" s="57"/>
      <c r="E16" s="58"/>
      <c r="F16" s="55"/>
      <c r="G16" s="55"/>
      <c r="H16" s="55"/>
      <c r="I16" s="55"/>
      <c r="J16" s="55"/>
      <c r="K16" s="55" t="b">
        <v>0</v>
      </c>
      <c r="L16" s="55"/>
      <c r="N16" s="100"/>
      <c r="O16" s="100"/>
      <c r="P16" s="100"/>
      <c r="Q16" s="100"/>
      <c r="R16" s="100"/>
      <c r="S16" s="100"/>
      <c r="T16" s="100"/>
      <c r="U16" s="100"/>
      <c r="V16" s="81"/>
      <c r="W16" s="81"/>
      <c r="X16" s="81"/>
      <c r="Y16" s="81"/>
      <c r="Z16" s="81"/>
    </row>
    <row r="17">
      <c r="A17" s="60"/>
      <c r="B17" s="60"/>
      <c r="C17" s="60"/>
      <c r="D17" s="61"/>
      <c r="E17" s="62"/>
      <c r="F17" s="60"/>
      <c r="G17" s="60"/>
      <c r="H17" s="60"/>
      <c r="I17" s="60"/>
      <c r="J17" s="60"/>
      <c r="K17" s="60" t="b">
        <v>0</v>
      </c>
      <c r="L17" s="60"/>
      <c r="N17" s="81"/>
      <c r="O17" s="81"/>
      <c r="P17" s="81"/>
      <c r="Q17" s="81"/>
      <c r="R17" s="81"/>
      <c r="S17" s="81"/>
      <c r="T17" s="81"/>
      <c r="U17" s="81"/>
      <c r="V17" s="81"/>
      <c r="W17" s="81"/>
      <c r="X17" s="81"/>
      <c r="Y17" s="81"/>
      <c r="Z17" s="81"/>
    </row>
    <row r="18">
      <c r="A18" s="55"/>
      <c r="B18" s="55"/>
      <c r="C18" s="55"/>
      <c r="D18" s="57"/>
      <c r="E18" s="58"/>
      <c r="F18" s="55"/>
      <c r="G18" s="55"/>
      <c r="H18" s="55"/>
      <c r="I18" s="55"/>
      <c r="J18" s="55"/>
      <c r="K18" s="55" t="b">
        <v>0</v>
      </c>
      <c r="L18" s="55"/>
      <c r="N18" s="117"/>
      <c r="O18" s="117"/>
      <c r="P18" s="117"/>
      <c r="Q18" s="117"/>
      <c r="R18" s="117"/>
      <c r="S18" s="117"/>
      <c r="T18" s="117"/>
      <c r="U18" s="117"/>
      <c r="V18" s="81"/>
      <c r="W18" s="81"/>
      <c r="X18" s="81"/>
      <c r="Y18" s="81"/>
      <c r="Z18" s="81"/>
    </row>
    <row r="19">
      <c r="A19" s="60"/>
      <c r="B19" s="60"/>
      <c r="C19" s="60"/>
      <c r="D19" s="61"/>
      <c r="E19" s="62"/>
      <c r="F19" s="60"/>
      <c r="G19" s="60"/>
      <c r="H19" s="60"/>
      <c r="I19" s="60"/>
      <c r="J19" s="60"/>
      <c r="K19" s="60" t="b">
        <v>0</v>
      </c>
      <c r="L19" s="60"/>
      <c r="N19" s="118"/>
      <c r="O19" s="119"/>
      <c r="P19" s="119"/>
      <c r="Q19" s="119"/>
      <c r="R19" s="119"/>
      <c r="S19" s="119"/>
      <c r="T19" s="119"/>
      <c r="U19" s="120"/>
      <c r="V19" s="81"/>
      <c r="W19" s="81"/>
      <c r="X19" s="81"/>
      <c r="Y19" s="81"/>
      <c r="Z19" s="81"/>
    </row>
    <row r="20">
      <c r="A20" s="55"/>
      <c r="B20" s="55"/>
      <c r="C20" s="55"/>
      <c r="D20" s="57"/>
      <c r="E20" s="58"/>
      <c r="F20" s="55"/>
      <c r="G20" s="55"/>
      <c r="H20" s="55"/>
      <c r="I20" s="55"/>
      <c r="J20" s="55"/>
      <c r="K20" s="55" t="b">
        <v>0</v>
      </c>
      <c r="L20" s="55"/>
      <c r="N20" s="122"/>
      <c r="O20" s="123"/>
      <c r="P20" s="123"/>
      <c r="Q20" s="123"/>
      <c r="R20" s="123"/>
      <c r="S20" s="123"/>
      <c r="T20" s="123"/>
      <c r="U20" s="124"/>
      <c r="V20" s="81"/>
      <c r="W20" s="81"/>
      <c r="X20" s="81"/>
      <c r="Y20" s="81"/>
      <c r="Z20" s="81"/>
    </row>
    <row r="21">
      <c r="A21" s="60"/>
      <c r="B21" s="60"/>
      <c r="C21" s="60"/>
      <c r="D21" s="61"/>
      <c r="E21" s="62"/>
      <c r="F21" s="60"/>
      <c r="G21" s="60"/>
      <c r="H21" s="60"/>
      <c r="I21" s="60"/>
      <c r="J21" s="60"/>
      <c r="K21" s="60" t="b">
        <v>0</v>
      </c>
      <c r="L21" s="60"/>
      <c r="N21" s="122"/>
      <c r="O21" s="123"/>
      <c r="P21" s="123"/>
      <c r="Q21" s="123"/>
      <c r="R21" s="123"/>
      <c r="S21" s="123"/>
      <c r="T21" s="123"/>
      <c r="U21" s="124"/>
      <c r="V21" s="81"/>
      <c r="W21" s="81"/>
      <c r="X21" s="81"/>
      <c r="Y21" s="81"/>
      <c r="Z21" s="81"/>
    </row>
    <row r="22">
      <c r="A22" s="55"/>
      <c r="B22" s="55"/>
      <c r="C22" s="55"/>
      <c r="D22" s="57"/>
      <c r="E22" s="58"/>
      <c r="F22" s="55"/>
      <c r="G22" s="55"/>
      <c r="H22" s="55"/>
      <c r="I22" s="55"/>
      <c r="J22" s="55"/>
      <c r="K22" s="55" t="b">
        <v>0</v>
      </c>
      <c r="L22" s="55"/>
      <c r="N22" s="122"/>
      <c r="O22" s="123"/>
      <c r="P22" s="123"/>
      <c r="Q22" s="123"/>
      <c r="R22" s="123"/>
      <c r="S22" s="123"/>
      <c r="T22" s="123"/>
      <c r="U22" s="124"/>
      <c r="V22" s="81"/>
      <c r="W22" s="81"/>
      <c r="X22" s="81"/>
      <c r="Y22" s="81"/>
      <c r="Z22" s="81"/>
    </row>
    <row r="23">
      <c r="A23" s="60"/>
      <c r="B23" s="60"/>
      <c r="C23" s="60"/>
      <c r="D23" s="61"/>
      <c r="E23" s="62"/>
      <c r="F23" s="60"/>
      <c r="G23" s="60"/>
      <c r="H23" s="60"/>
      <c r="I23" s="60"/>
      <c r="J23" s="60"/>
      <c r="K23" s="60" t="b">
        <v>0</v>
      </c>
      <c r="L23" s="60"/>
      <c r="N23" s="122"/>
      <c r="O23" s="123"/>
      <c r="P23" s="123"/>
      <c r="Q23" s="123"/>
      <c r="R23" s="123"/>
      <c r="S23" s="123"/>
      <c r="T23" s="123"/>
      <c r="U23" s="124"/>
      <c r="V23" s="81"/>
      <c r="W23" s="81"/>
      <c r="X23" s="81"/>
      <c r="Y23" s="81"/>
      <c r="Z23" s="81"/>
    </row>
    <row r="24">
      <c r="A24" s="55"/>
      <c r="B24" s="55"/>
      <c r="C24" s="55"/>
      <c r="D24" s="57"/>
      <c r="E24" s="58"/>
      <c r="F24" s="55"/>
      <c r="G24" s="55"/>
      <c r="H24" s="55"/>
      <c r="I24" s="55"/>
      <c r="J24" s="55"/>
      <c r="K24" s="55" t="b">
        <v>0</v>
      </c>
      <c r="L24" s="55"/>
      <c r="N24" s="128"/>
      <c r="O24" s="129"/>
      <c r="P24" s="129"/>
      <c r="Q24" s="129"/>
      <c r="R24" s="129"/>
      <c r="S24" s="129"/>
      <c r="T24" s="129"/>
      <c r="U24" s="130"/>
      <c r="V24" s="81"/>
      <c r="W24" s="81"/>
      <c r="X24" s="81"/>
      <c r="Y24" s="81"/>
      <c r="Z24" s="81"/>
    </row>
    <row r="25">
      <c r="A25" s="60"/>
      <c r="B25" s="60"/>
      <c r="C25" s="60"/>
      <c r="D25" s="61"/>
      <c r="E25" s="62"/>
      <c r="F25" s="60"/>
      <c r="G25" s="60"/>
      <c r="H25" s="60"/>
      <c r="I25" s="60"/>
      <c r="J25" s="60"/>
      <c r="K25" s="60" t="b">
        <v>0</v>
      </c>
      <c r="L25" s="60"/>
      <c r="N25" s="81"/>
      <c r="O25" s="81"/>
      <c r="P25" s="81"/>
      <c r="Q25" s="81"/>
      <c r="R25" s="81"/>
      <c r="S25" s="81"/>
      <c r="T25" s="81"/>
      <c r="U25" s="81"/>
      <c r="V25" s="81"/>
      <c r="W25" s="81"/>
      <c r="X25" s="81"/>
      <c r="Y25" s="81"/>
      <c r="Z25" s="81"/>
    </row>
    <row r="26" ht="22.5" customHeight="1">
      <c r="A26" s="55"/>
      <c r="B26" s="55"/>
      <c r="C26" s="55"/>
      <c r="D26" s="57"/>
      <c r="E26" s="58"/>
      <c r="F26" s="55"/>
      <c r="G26" s="55"/>
      <c r="H26" s="55"/>
      <c r="I26" s="55"/>
      <c r="J26" s="55"/>
      <c r="K26" s="55" t="b">
        <v>0</v>
      </c>
      <c r="L26" s="55"/>
      <c r="N26" s="132" t="s">
        <v>151</v>
      </c>
    </row>
    <row r="27" ht="21.0" customHeight="1">
      <c r="A27" s="60"/>
      <c r="B27" s="60"/>
      <c r="C27" s="60"/>
      <c r="D27" s="61"/>
      <c r="E27" s="62"/>
      <c r="F27" s="60"/>
      <c r="G27" s="60"/>
      <c r="H27" s="60"/>
      <c r="I27" s="60"/>
      <c r="J27" s="60"/>
      <c r="K27" s="60" t="b">
        <v>0</v>
      </c>
      <c r="L27" s="60"/>
      <c r="N27" s="134" t="s">
        <v>154</v>
      </c>
    </row>
    <row r="28" ht="21.0" customHeight="1">
      <c r="A28" s="55"/>
      <c r="B28" s="55"/>
      <c r="C28" s="55"/>
      <c r="D28" s="57"/>
      <c r="E28" s="58"/>
      <c r="F28" s="55"/>
      <c r="G28" s="55"/>
      <c r="H28" s="55"/>
      <c r="I28" s="55"/>
      <c r="J28" s="55"/>
      <c r="K28" s="55" t="b">
        <v>0</v>
      </c>
      <c r="L28" s="55"/>
    </row>
    <row r="29">
      <c r="A29" s="60"/>
      <c r="B29" s="60"/>
      <c r="C29" s="60"/>
      <c r="D29" s="61"/>
      <c r="E29" s="62"/>
      <c r="F29" s="60"/>
      <c r="G29" s="60"/>
      <c r="H29" s="60"/>
      <c r="I29" s="60"/>
      <c r="J29" s="60"/>
      <c r="K29" s="60" t="b">
        <v>0</v>
      </c>
      <c r="L29" s="60"/>
    </row>
    <row r="30" ht="18.0" customHeight="1">
      <c r="A30" s="55"/>
      <c r="B30" s="55"/>
      <c r="C30" s="55"/>
      <c r="D30" s="57"/>
      <c r="E30" s="58"/>
      <c r="F30" s="55"/>
      <c r="G30" s="55"/>
      <c r="H30" s="55"/>
      <c r="I30" s="55"/>
      <c r="J30" s="55"/>
      <c r="K30" s="55" t="b">
        <v>0</v>
      </c>
      <c r="L30" s="55"/>
      <c r="N30" s="136"/>
      <c r="O30" s="97"/>
      <c r="P30" s="97"/>
      <c r="Q30" s="98"/>
      <c r="R30" s="138"/>
      <c r="S30" s="97"/>
      <c r="T30" s="97"/>
      <c r="U30" s="98"/>
      <c r="V30" s="139"/>
      <c r="W30" s="97"/>
      <c r="X30" s="97"/>
      <c r="Y30" s="98"/>
    </row>
    <row r="31" ht="18.0" customHeight="1">
      <c r="A31" s="60"/>
      <c r="B31" s="60"/>
      <c r="C31" s="60"/>
      <c r="D31" s="61"/>
      <c r="E31" s="62"/>
      <c r="F31" s="60"/>
      <c r="G31" s="60"/>
      <c r="H31" s="60"/>
      <c r="I31" s="60"/>
      <c r="J31" s="60"/>
      <c r="K31" s="60" t="b">
        <v>0</v>
      </c>
      <c r="L31" s="60"/>
      <c r="N31" s="101"/>
      <c r="Q31" s="102"/>
      <c r="R31" s="101"/>
      <c r="U31" s="102"/>
      <c r="V31" s="101"/>
      <c r="Y31" s="102"/>
    </row>
    <row r="32" ht="18.0" customHeight="1">
      <c r="A32" s="55"/>
      <c r="B32" s="55"/>
      <c r="C32" s="55"/>
      <c r="D32" s="57"/>
      <c r="E32" s="58"/>
      <c r="F32" s="55"/>
      <c r="G32" s="55"/>
      <c r="H32" s="55"/>
      <c r="I32" s="55"/>
      <c r="J32" s="55"/>
      <c r="K32" s="55" t="b">
        <v>0</v>
      </c>
      <c r="L32" s="55"/>
      <c r="N32" s="101"/>
      <c r="Q32" s="102"/>
      <c r="R32" s="101"/>
      <c r="U32" s="102"/>
      <c r="V32" s="101"/>
      <c r="Y32" s="102"/>
    </row>
    <row r="33" ht="18.0" customHeight="1">
      <c r="A33" s="60"/>
      <c r="B33" s="60"/>
      <c r="C33" s="60"/>
      <c r="D33" s="61"/>
      <c r="E33" s="62"/>
      <c r="F33" s="60"/>
      <c r="G33" s="60"/>
      <c r="H33" s="60"/>
      <c r="I33" s="60"/>
      <c r="J33" s="60"/>
      <c r="K33" s="60" t="b">
        <v>0</v>
      </c>
      <c r="L33" s="60"/>
      <c r="N33" s="101"/>
      <c r="Q33" s="102"/>
      <c r="R33" s="101"/>
      <c r="U33" s="102"/>
      <c r="V33" s="101"/>
      <c r="Y33" s="102"/>
    </row>
    <row r="34" ht="18.0" customHeight="1">
      <c r="A34" s="55"/>
      <c r="B34" s="55"/>
      <c r="C34" s="55"/>
      <c r="D34" s="57"/>
      <c r="E34" s="58"/>
      <c r="F34" s="55"/>
      <c r="G34" s="55"/>
      <c r="H34" s="55"/>
      <c r="I34" s="55"/>
      <c r="J34" s="55"/>
      <c r="K34" s="55" t="b">
        <v>0</v>
      </c>
      <c r="L34" s="55"/>
      <c r="N34" s="104"/>
      <c r="O34" s="105"/>
      <c r="P34" s="105"/>
      <c r="Q34" s="106"/>
      <c r="R34" s="104"/>
      <c r="S34" s="105"/>
      <c r="T34" s="105"/>
      <c r="U34" s="106"/>
      <c r="V34" s="104"/>
      <c r="W34" s="105"/>
      <c r="X34" s="105"/>
      <c r="Y34" s="106"/>
    </row>
    <row r="35" ht="18.0" customHeight="1">
      <c r="A35" s="60"/>
      <c r="B35" s="60"/>
      <c r="C35" s="60"/>
      <c r="D35" s="61"/>
      <c r="E35" s="62"/>
      <c r="F35" s="60"/>
      <c r="G35" s="60"/>
      <c r="H35" s="60"/>
      <c r="I35" s="60"/>
      <c r="J35" s="60"/>
      <c r="K35" s="60" t="b">
        <v>0</v>
      </c>
      <c r="L35" s="60"/>
      <c r="N35" s="138"/>
      <c r="O35" s="97"/>
      <c r="P35" s="97"/>
      <c r="Q35" s="98"/>
      <c r="R35" s="136"/>
      <c r="S35" s="97"/>
      <c r="T35" s="97"/>
      <c r="U35" s="98"/>
      <c r="V35" s="138"/>
      <c r="W35" s="97"/>
      <c r="X35" s="97"/>
      <c r="Y35" s="98"/>
    </row>
    <row r="36" ht="18.0" customHeight="1">
      <c r="A36" s="55"/>
      <c r="B36" s="55"/>
      <c r="C36" s="55"/>
      <c r="D36" s="57"/>
      <c r="E36" s="58"/>
      <c r="F36" s="55"/>
      <c r="G36" s="55"/>
      <c r="H36" s="55"/>
      <c r="I36" s="55"/>
      <c r="J36" s="55"/>
      <c r="K36" s="55" t="b">
        <v>0</v>
      </c>
      <c r="L36" s="55"/>
      <c r="N36" s="101"/>
      <c r="Q36" s="102"/>
      <c r="R36" s="101"/>
      <c r="U36" s="102"/>
      <c r="V36" s="101"/>
      <c r="Y36" s="102"/>
    </row>
    <row r="37" ht="18.0" customHeight="1">
      <c r="A37" s="60"/>
      <c r="B37" s="60"/>
      <c r="C37" s="60"/>
      <c r="D37" s="61"/>
      <c r="E37" s="62"/>
      <c r="F37" s="60"/>
      <c r="G37" s="60"/>
      <c r="H37" s="60"/>
      <c r="I37" s="60"/>
      <c r="J37" s="60"/>
      <c r="K37" s="60" t="b">
        <v>0</v>
      </c>
      <c r="L37" s="60"/>
      <c r="N37" s="101"/>
      <c r="Q37" s="102"/>
      <c r="R37" s="101"/>
      <c r="U37" s="102"/>
      <c r="V37" s="101"/>
      <c r="Y37" s="102"/>
    </row>
    <row r="38" ht="18.0" customHeight="1">
      <c r="A38" s="55"/>
      <c r="B38" s="55"/>
      <c r="C38" s="55"/>
      <c r="D38" s="57"/>
      <c r="E38" s="58"/>
      <c r="F38" s="55"/>
      <c r="G38" s="55"/>
      <c r="H38" s="55"/>
      <c r="I38" s="55"/>
      <c r="J38" s="55"/>
      <c r="K38" s="55" t="b">
        <v>0</v>
      </c>
      <c r="L38" s="55"/>
      <c r="N38" s="101"/>
      <c r="Q38" s="102"/>
      <c r="R38" s="101"/>
      <c r="U38" s="102"/>
      <c r="V38" s="101"/>
      <c r="Y38" s="102"/>
    </row>
    <row r="39" ht="18.0" customHeight="1">
      <c r="A39" s="60"/>
      <c r="B39" s="60"/>
      <c r="C39" s="60"/>
      <c r="D39" s="61"/>
      <c r="E39" s="62"/>
      <c r="F39" s="60"/>
      <c r="G39" s="60"/>
      <c r="H39" s="60"/>
      <c r="I39" s="60"/>
      <c r="J39" s="60"/>
      <c r="K39" s="60" t="b">
        <v>0</v>
      </c>
      <c r="L39" s="60"/>
      <c r="N39" s="104"/>
      <c r="O39" s="105"/>
      <c r="P39" s="105"/>
      <c r="Q39" s="106"/>
      <c r="R39" s="104"/>
      <c r="S39" s="105"/>
      <c r="T39" s="105"/>
      <c r="U39" s="106"/>
      <c r="V39" s="104"/>
      <c r="W39" s="105"/>
      <c r="X39" s="105"/>
      <c r="Y39" s="106"/>
    </row>
    <row r="40" ht="18.0" customHeight="1">
      <c r="A40" s="55"/>
      <c r="B40" s="55"/>
      <c r="C40" s="55"/>
      <c r="D40" s="57"/>
      <c r="E40" s="58"/>
      <c r="F40" s="55"/>
      <c r="G40" s="55"/>
      <c r="H40" s="55"/>
      <c r="I40" s="55"/>
      <c r="J40" s="55"/>
      <c r="K40" s="55" t="b">
        <v>0</v>
      </c>
      <c r="L40" s="55"/>
      <c r="N40" s="139"/>
      <c r="O40" s="97"/>
      <c r="P40" s="97"/>
      <c r="Q40" s="98"/>
      <c r="R40" s="138"/>
      <c r="S40" s="97"/>
      <c r="T40" s="97"/>
      <c r="U40" s="98"/>
      <c r="V40" s="136"/>
      <c r="W40" s="97"/>
      <c r="X40" s="97"/>
      <c r="Y40" s="98"/>
    </row>
    <row r="41" ht="18.0" customHeight="1">
      <c r="A41" s="60"/>
      <c r="B41" s="60"/>
      <c r="C41" s="60"/>
      <c r="D41" s="61"/>
      <c r="E41" s="62"/>
      <c r="F41" s="60"/>
      <c r="G41" s="60"/>
      <c r="H41" s="60"/>
      <c r="I41" s="60"/>
      <c r="J41" s="60"/>
      <c r="K41" s="60" t="b">
        <v>0</v>
      </c>
      <c r="L41" s="60"/>
      <c r="N41" s="101"/>
      <c r="Q41" s="102"/>
      <c r="R41" s="101"/>
      <c r="U41" s="102"/>
      <c r="V41" s="101"/>
      <c r="Y41" s="102"/>
    </row>
    <row r="42" ht="18.0" customHeight="1">
      <c r="A42" s="55"/>
      <c r="B42" s="55"/>
      <c r="C42" s="55"/>
      <c r="D42" s="57"/>
      <c r="E42" s="58"/>
      <c r="F42" s="55"/>
      <c r="G42" s="55"/>
      <c r="H42" s="55"/>
      <c r="I42" s="55"/>
      <c r="J42" s="55"/>
      <c r="K42" s="55" t="b">
        <v>0</v>
      </c>
      <c r="L42" s="55"/>
      <c r="N42" s="101"/>
      <c r="Q42" s="102"/>
      <c r="R42" s="101"/>
      <c r="U42" s="102"/>
      <c r="V42" s="101"/>
      <c r="Y42" s="102"/>
    </row>
    <row r="43" ht="18.0" customHeight="1">
      <c r="A43" s="60"/>
      <c r="B43" s="60"/>
      <c r="C43" s="60"/>
      <c r="D43" s="61"/>
      <c r="E43" s="62"/>
      <c r="F43" s="60"/>
      <c r="G43" s="60"/>
      <c r="H43" s="60"/>
      <c r="I43" s="60"/>
      <c r="J43" s="60"/>
      <c r="K43" s="60" t="b">
        <v>0</v>
      </c>
      <c r="L43" s="60"/>
      <c r="N43" s="101"/>
      <c r="Q43" s="102"/>
      <c r="R43" s="101"/>
      <c r="U43" s="102"/>
      <c r="V43" s="101"/>
      <c r="Y43" s="102"/>
    </row>
    <row r="44" ht="18.0" customHeight="1">
      <c r="A44" s="55"/>
      <c r="B44" s="55"/>
      <c r="C44" s="55"/>
      <c r="D44" s="57"/>
      <c r="E44" s="58"/>
      <c r="F44" s="55"/>
      <c r="G44" s="55"/>
      <c r="H44" s="55"/>
      <c r="I44" s="55"/>
      <c r="J44" s="55"/>
      <c r="K44" s="55" t="b">
        <v>0</v>
      </c>
      <c r="L44" s="55"/>
      <c r="N44" s="104"/>
      <c r="O44" s="105"/>
      <c r="P44" s="105"/>
      <c r="Q44" s="106"/>
      <c r="R44" s="104"/>
      <c r="S44" s="105"/>
      <c r="T44" s="105"/>
      <c r="U44" s="106"/>
      <c r="V44" s="104"/>
      <c r="W44" s="105"/>
      <c r="X44" s="105"/>
      <c r="Y44" s="106"/>
    </row>
    <row r="45" ht="18.0" customHeight="1">
      <c r="A45" s="60"/>
      <c r="B45" s="60"/>
      <c r="C45" s="60"/>
      <c r="D45" s="61"/>
      <c r="E45" s="62"/>
      <c r="F45" s="60"/>
      <c r="G45" s="60"/>
      <c r="H45" s="60"/>
      <c r="I45" s="60"/>
      <c r="J45" s="60"/>
      <c r="K45" s="60" t="b">
        <v>0</v>
      </c>
      <c r="L45" s="60"/>
      <c r="N45" s="136"/>
      <c r="O45" s="97"/>
      <c r="P45" s="97"/>
      <c r="Q45" s="98"/>
      <c r="R45" s="139"/>
      <c r="S45" s="97"/>
      <c r="T45" s="97"/>
      <c r="U45" s="98"/>
      <c r="V45" s="138"/>
      <c r="W45" s="97"/>
      <c r="X45" s="97"/>
      <c r="Y45" s="98"/>
    </row>
    <row r="46" ht="18.0" customHeight="1">
      <c r="A46" s="55"/>
      <c r="B46" s="55"/>
      <c r="C46" s="55"/>
      <c r="D46" s="57"/>
      <c r="E46" s="58"/>
      <c r="F46" s="55"/>
      <c r="G46" s="55"/>
      <c r="H46" s="55"/>
      <c r="I46" s="55"/>
      <c r="J46" s="55"/>
      <c r="K46" s="55" t="b">
        <v>0</v>
      </c>
      <c r="L46" s="55"/>
      <c r="N46" s="101"/>
      <c r="Q46" s="102"/>
      <c r="R46" s="101"/>
      <c r="U46" s="102"/>
      <c r="V46" s="101"/>
      <c r="Y46" s="102"/>
    </row>
    <row r="47" ht="18.0" customHeight="1">
      <c r="A47" s="60"/>
      <c r="B47" s="60"/>
      <c r="C47" s="60"/>
      <c r="D47" s="61"/>
      <c r="E47" s="62"/>
      <c r="F47" s="60"/>
      <c r="G47" s="60"/>
      <c r="H47" s="60"/>
      <c r="I47" s="60"/>
      <c r="J47" s="60"/>
      <c r="K47" s="60" t="b">
        <v>0</v>
      </c>
      <c r="L47" s="60"/>
      <c r="N47" s="101"/>
      <c r="Q47" s="102"/>
      <c r="R47" s="101"/>
      <c r="U47" s="102"/>
      <c r="V47" s="101"/>
      <c r="Y47" s="102"/>
    </row>
    <row r="48" ht="18.0" customHeight="1">
      <c r="A48" s="55"/>
      <c r="B48" s="55"/>
      <c r="C48" s="55"/>
      <c r="D48" s="57"/>
      <c r="E48" s="58"/>
      <c r="F48" s="55"/>
      <c r="G48" s="55"/>
      <c r="H48" s="55"/>
      <c r="I48" s="55"/>
      <c r="J48" s="55"/>
      <c r="K48" s="55" t="b">
        <v>0</v>
      </c>
      <c r="L48" s="55"/>
      <c r="N48" s="101"/>
      <c r="Q48" s="102"/>
      <c r="R48" s="101"/>
      <c r="U48" s="102"/>
      <c r="V48" s="101"/>
      <c r="Y48" s="102"/>
    </row>
    <row r="49" ht="18.0" customHeight="1">
      <c r="A49" s="60"/>
      <c r="B49" s="60"/>
      <c r="C49" s="60"/>
      <c r="D49" s="61"/>
      <c r="E49" s="62"/>
      <c r="F49" s="60"/>
      <c r="G49" s="60"/>
      <c r="H49" s="60"/>
      <c r="I49" s="60"/>
      <c r="J49" s="60"/>
      <c r="K49" s="60" t="b">
        <v>0</v>
      </c>
      <c r="L49" s="60"/>
      <c r="N49" s="104"/>
      <c r="O49" s="105"/>
      <c r="P49" s="105"/>
      <c r="Q49" s="106"/>
      <c r="R49" s="104"/>
      <c r="S49" s="105"/>
      <c r="T49" s="105"/>
      <c r="U49" s="106"/>
      <c r="V49" s="104"/>
      <c r="W49" s="105"/>
      <c r="X49" s="105"/>
      <c r="Y49" s="106"/>
    </row>
    <row r="50">
      <c r="A50" s="55"/>
      <c r="B50" s="55"/>
      <c r="C50" s="55"/>
      <c r="D50" s="57"/>
      <c r="E50" s="58"/>
      <c r="F50" s="55"/>
      <c r="G50" s="55"/>
      <c r="H50" s="55"/>
      <c r="I50" s="55"/>
      <c r="J50" s="55"/>
      <c r="K50" s="55" t="b">
        <v>0</v>
      </c>
      <c r="L50" s="55"/>
    </row>
    <row r="51" ht="21.0" customHeight="1">
      <c r="A51" s="60"/>
      <c r="B51" s="60"/>
      <c r="C51" s="60"/>
      <c r="D51" s="61"/>
      <c r="E51" s="62"/>
      <c r="F51" s="60"/>
      <c r="G51" s="60"/>
      <c r="H51" s="60"/>
      <c r="I51" s="60"/>
      <c r="J51" s="60"/>
      <c r="K51" s="60" t="b">
        <v>0</v>
      </c>
      <c r="L51" s="60"/>
      <c r="N51" s="127" t="s">
        <v>166</v>
      </c>
    </row>
    <row r="52" ht="18.0" customHeight="1">
      <c r="A52" s="55"/>
      <c r="B52" s="55"/>
      <c r="C52" s="55"/>
      <c r="D52" s="57"/>
      <c r="E52" s="58"/>
      <c r="F52" s="55"/>
      <c r="G52" s="55"/>
      <c r="H52" s="55"/>
      <c r="I52" s="55"/>
      <c r="J52" s="55"/>
      <c r="K52" s="55" t="b">
        <v>0</v>
      </c>
      <c r="L52" s="55"/>
      <c r="N52" s="141" t="s">
        <v>171</v>
      </c>
      <c r="O52" s="97"/>
      <c r="P52" s="97"/>
      <c r="Q52" s="97"/>
      <c r="R52" s="97"/>
      <c r="S52" s="97"/>
      <c r="T52" s="97"/>
      <c r="U52" s="97"/>
      <c r="V52" s="97"/>
      <c r="W52" s="97"/>
      <c r="X52" s="97"/>
      <c r="Y52" s="98"/>
    </row>
    <row r="53" ht="18.0" customHeight="1">
      <c r="A53" s="60"/>
      <c r="B53" s="60"/>
      <c r="C53" s="60"/>
      <c r="D53" s="61"/>
      <c r="E53" s="62"/>
      <c r="F53" s="60"/>
      <c r="G53" s="60"/>
      <c r="H53" s="60"/>
      <c r="I53" s="60"/>
      <c r="J53" s="60"/>
      <c r="K53" s="60" t="b">
        <v>0</v>
      </c>
      <c r="L53" s="60"/>
      <c r="N53" s="101"/>
      <c r="Y53" s="102"/>
    </row>
    <row r="54" ht="18.0" customHeight="1">
      <c r="A54" s="55"/>
      <c r="B54" s="55"/>
      <c r="C54" s="55"/>
      <c r="D54" s="57"/>
      <c r="E54" s="58"/>
      <c r="F54" s="55"/>
      <c r="G54" s="55"/>
      <c r="H54" s="55"/>
      <c r="I54" s="55"/>
      <c r="J54" s="55"/>
      <c r="K54" s="55" t="b">
        <v>0</v>
      </c>
      <c r="L54" s="55"/>
      <c r="N54" s="101"/>
      <c r="Y54" s="102"/>
    </row>
    <row r="55" ht="18.0" customHeight="1">
      <c r="A55" s="60"/>
      <c r="B55" s="60"/>
      <c r="C55" s="60"/>
      <c r="D55" s="61"/>
      <c r="E55" s="62"/>
      <c r="F55" s="60"/>
      <c r="G55" s="60"/>
      <c r="H55" s="60"/>
      <c r="I55" s="60"/>
      <c r="J55" s="60"/>
      <c r="K55" s="60" t="b">
        <v>0</v>
      </c>
      <c r="L55" s="60"/>
      <c r="N55" s="101"/>
      <c r="Y55" s="102"/>
    </row>
    <row r="56" ht="18.0" customHeight="1">
      <c r="A56" s="55"/>
      <c r="B56" s="55"/>
      <c r="C56" s="55"/>
      <c r="D56" s="57"/>
      <c r="E56" s="58"/>
      <c r="F56" s="55"/>
      <c r="G56" s="55"/>
      <c r="H56" s="55"/>
      <c r="I56" s="55"/>
      <c r="J56" s="55"/>
      <c r="K56" s="55" t="b">
        <v>0</v>
      </c>
      <c r="L56" s="55"/>
      <c r="N56" s="101"/>
      <c r="Y56" s="102"/>
    </row>
    <row r="57" ht="18.0" customHeight="1">
      <c r="A57" s="60"/>
      <c r="B57" s="60"/>
      <c r="C57" s="60"/>
      <c r="D57" s="61"/>
      <c r="E57" s="62"/>
      <c r="F57" s="60"/>
      <c r="G57" s="60"/>
      <c r="H57" s="60"/>
      <c r="I57" s="60"/>
      <c r="J57" s="60"/>
      <c r="K57" s="60" t="b">
        <v>0</v>
      </c>
      <c r="L57" s="60"/>
      <c r="N57" s="104"/>
      <c r="O57" s="105"/>
      <c r="P57" s="105"/>
      <c r="Q57" s="105"/>
      <c r="R57" s="105"/>
      <c r="S57" s="105"/>
      <c r="T57" s="105"/>
      <c r="U57" s="105"/>
      <c r="V57" s="105"/>
      <c r="W57" s="105"/>
      <c r="X57" s="105"/>
      <c r="Y57" s="106"/>
    </row>
    <row r="58">
      <c r="A58" s="55"/>
      <c r="B58" s="55"/>
      <c r="C58" s="55"/>
      <c r="D58" s="57"/>
      <c r="E58" s="58"/>
      <c r="F58" s="55"/>
      <c r="G58" s="55"/>
      <c r="H58" s="55"/>
      <c r="I58" s="55"/>
      <c r="J58" s="55"/>
      <c r="K58" s="55" t="b">
        <v>0</v>
      </c>
      <c r="L58" s="55"/>
    </row>
    <row r="59">
      <c r="A59" s="60"/>
      <c r="B59" s="60"/>
      <c r="C59" s="60"/>
      <c r="D59" s="61"/>
      <c r="E59" s="62"/>
      <c r="F59" s="60"/>
      <c r="G59" s="60"/>
      <c r="H59" s="60"/>
      <c r="I59" s="60"/>
      <c r="J59" s="60"/>
      <c r="K59" s="60" t="b">
        <v>0</v>
      </c>
      <c r="L59" s="60"/>
    </row>
    <row r="60">
      <c r="A60" s="55"/>
      <c r="B60" s="55"/>
      <c r="C60" s="55"/>
      <c r="D60" s="57"/>
      <c r="E60" s="58"/>
      <c r="F60" s="55"/>
      <c r="G60" s="55"/>
      <c r="H60" s="55"/>
      <c r="I60" s="55"/>
      <c r="J60" s="55"/>
      <c r="K60" s="55" t="b">
        <v>0</v>
      </c>
      <c r="L60" s="55"/>
    </row>
    <row r="61">
      <c r="A61" s="60"/>
      <c r="B61" s="60"/>
      <c r="C61" s="60"/>
      <c r="D61" s="61"/>
      <c r="E61" s="62"/>
      <c r="F61" s="60"/>
      <c r="G61" s="60"/>
      <c r="H61" s="60"/>
      <c r="I61" s="60"/>
      <c r="J61" s="60"/>
      <c r="K61" s="60" t="b">
        <v>0</v>
      </c>
      <c r="L61" s="60"/>
    </row>
    <row r="62">
      <c r="A62" s="55"/>
      <c r="B62" s="55"/>
      <c r="C62" s="55"/>
      <c r="D62" s="57"/>
      <c r="E62" s="58"/>
      <c r="F62" s="55"/>
      <c r="G62" s="55"/>
      <c r="H62" s="55"/>
      <c r="I62" s="55"/>
      <c r="J62" s="55"/>
      <c r="K62" s="55" t="b">
        <v>0</v>
      </c>
      <c r="L62" s="55"/>
    </row>
    <row r="63">
      <c r="A63" s="60"/>
      <c r="B63" s="60"/>
      <c r="C63" s="60"/>
      <c r="D63" s="61"/>
      <c r="E63" s="62"/>
      <c r="F63" s="60"/>
      <c r="G63" s="60"/>
      <c r="H63" s="60"/>
      <c r="I63" s="60"/>
      <c r="J63" s="60"/>
      <c r="K63" s="60" t="b">
        <v>0</v>
      </c>
      <c r="L63" s="60"/>
    </row>
    <row r="64">
      <c r="A64" s="55"/>
      <c r="B64" s="55"/>
      <c r="C64" s="55"/>
      <c r="D64" s="57"/>
      <c r="E64" s="58"/>
      <c r="F64" s="55"/>
      <c r="G64" s="55"/>
      <c r="H64" s="55"/>
      <c r="I64" s="55"/>
      <c r="J64" s="55"/>
      <c r="K64" s="55" t="b">
        <v>0</v>
      </c>
      <c r="L64" s="55"/>
    </row>
    <row r="65">
      <c r="A65" s="60"/>
      <c r="B65" s="60"/>
      <c r="C65" s="60"/>
      <c r="D65" s="61"/>
      <c r="E65" s="62"/>
      <c r="F65" s="60"/>
      <c r="G65" s="60"/>
      <c r="H65" s="60"/>
      <c r="I65" s="60"/>
      <c r="J65" s="60"/>
      <c r="K65" s="60" t="b">
        <v>0</v>
      </c>
      <c r="L65" s="60"/>
    </row>
    <row r="66">
      <c r="A66" s="55"/>
      <c r="B66" s="55"/>
      <c r="C66" s="55"/>
      <c r="D66" s="57"/>
      <c r="E66" s="58"/>
      <c r="F66" s="55"/>
      <c r="G66" s="55"/>
      <c r="H66" s="55"/>
      <c r="I66" s="55"/>
      <c r="J66" s="55"/>
      <c r="K66" s="55" t="b">
        <v>0</v>
      </c>
      <c r="L66" s="55"/>
    </row>
    <row r="67">
      <c r="A67" s="60"/>
      <c r="B67" s="60"/>
      <c r="C67" s="60"/>
      <c r="D67" s="61"/>
      <c r="E67" s="62"/>
      <c r="F67" s="60"/>
      <c r="G67" s="60"/>
      <c r="H67" s="60"/>
      <c r="I67" s="60"/>
      <c r="J67" s="60"/>
      <c r="K67" s="60" t="b">
        <v>0</v>
      </c>
      <c r="L67" s="60"/>
    </row>
    <row r="68">
      <c r="A68" s="55"/>
      <c r="B68" s="55"/>
      <c r="C68" s="55"/>
      <c r="D68" s="57"/>
      <c r="E68" s="58"/>
      <c r="F68" s="55"/>
      <c r="G68" s="55"/>
      <c r="H68" s="55"/>
      <c r="I68" s="55"/>
      <c r="J68" s="55"/>
      <c r="K68" s="55" t="b">
        <v>0</v>
      </c>
      <c r="L68" s="55"/>
    </row>
    <row r="69">
      <c r="A69" s="60"/>
      <c r="B69" s="60"/>
      <c r="C69" s="60"/>
      <c r="D69" s="61"/>
      <c r="E69" s="62"/>
      <c r="F69" s="60"/>
      <c r="G69" s="60"/>
      <c r="H69" s="60"/>
      <c r="I69" s="60"/>
      <c r="J69" s="60"/>
      <c r="K69" s="60" t="b">
        <v>0</v>
      </c>
      <c r="L69" s="60"/>
    </row>
    <row r="70">
      <c r="A70" s="55"/>
      <c r="B70" s="55"/>
      <c r="C70" s="55"/>
      <c r="D70" s="57"/>
      <c r="E70" s="58"/>
      <c r="F70" s="55"/>
      <c r="G70" s="55"/>
      <c r="H70" s="55"/>
      <c r="I70" s="55"/>
      <c r="J70" s="55"/>
      <c r="K70" s="55" t="b">
        <v>0</v>
      </c>
      <c r="L70" s="55"/>
    </row>
    <row r="71">
      <c r="A71" s="60"/>
      <c r="B71" s="60"/>
      <c r="C71" s="60"/>
      <c r="D71" s="61"/>
      <c r="E71" s="62"/>
      <c r="F71" s="60"/>
      <c r="G71" s="60"/>
      <c r="H71" s="60"/>
      <c r="I71" s="60"/>
      <c r="J71" s="60"/>
      <c r="K71" s="60" t="b">
        <v>0</v>
      </c>
      <c r="L71" s="60"/>
    </row>
    <row r="72">
      <c r="A72" s="55"/>
      <c r="B72" s="55"/>
      <c r="C72" s="55"/>
      <c r="D72" s="57"/>
      <c r="E72" s="58"/>
      <c r="F72" s="55"/>
      <c r="G72" s="55"/>
      <c r="H72" s="55"/>
      <c r="I72" s="55"/>
      <c r="J72" s="55"/>
      <c r="K72" s="55" t="b">
        <v>0</v>
      </c>
      <c r="L72" s="55"/>
    </row>
    <row r="73">
      <c r="A73" s="60"/>
      <c r="B73" s="60"/>
      <c r="C73" s="60"/>
      <c r="D73" s="61"/>
      <c r="E73" s="62"/>
      <c r="F73" s="60"/>
      <c r="G73" s="60"/>
      <c r="H73" s="60"/>
      <c r="I73" s="60"/>
      <c r="J73" s="60"/>
      <c r="K73" s="60" t="b">
        <v>0</v>
      </c>
      <c r="L73" s="60"/>
    </row>
    <row r="74">
      <c r="A74" s="55"/>
      <c r="B74" s="55"/>
      <c r="C74" s="55"/>
      <c r="D74" s="57"/>
      <c r="E74" s="58"/>
      <c r="F74" s="55"/>
      <c r="G74" s="55"/>
      <c r="H74" s="55"/>
      <c r="I74" s="55"/>
      <c r="J74" s="55"/>
      <c r="K74" s="55" t="b">
        <v>0</v>
      </c>
      <c r="L74" s="55"/>
    </row>
    <row r="75">
      <c r="A75" s="60"/>
      <c r="B75" s="60"/>
      <c r="C75" s="60"/>
      <c r="D75" s="61"/>
      <c r="E75" s="62"/>
      <c r="F75" s="60"/>
      <c r="G75" s="60"/>
      <c r="H75" s="60"/>
      <c r="I75" s="60"/>
      <c r="J75" s="60"/>
      <c r="K75" s="60" t="b">
        <v>0</v>
      </c>
      <c r="L75" s="60"/>
    </row>
    <row r="76">
      <c r="A76" s="55"/>
      <c r="B76" s="55"/>
      <c r="C76" s="55"/>
      <c r="D76" s="57"/>
      <c r="E76" s="58"/>
      <c r="F76" s="55"/>
      <c r="G76" s="55"/>
      <c r="H76" s="55"/>
      <c r="I76" s="55"/>
      <c r="J76" s="55"/>
      <c r="K76" s="55" t="b">
        <v>0</v>
      </c>
      <c r="L76" s="55"/>
    </row>
    <row r="77">
      <c r="A77" s="60"/>
      <c r="B77" s="60"/>
      <c r="C77" s="60"/>
      <c r="D77" s="61"/>
      <c r="E77" s="62"/>
      <c r="F77" s="60"/>
      <c r="G77" s="60"/>
      <c r="H77" s="60"/>
      <c r="I77" s="60"/>
      <c r="J77" s="60"/>
      <c r="K77" s="60" t="b">
        <v>0</v>
      </c>
      <c r="L77" s="60"/>
    </row>
    <row r="78">
      <c r="A78" s="55"/>
      <c r="B78" s="55"/>
      <c r="C78" s="55"/>
      <c r="D78" s="57"/>
      <c r="E78" s="58"/>
      <c r="F78" s="55"/>
      <c r="G78" s="55"/>
      <c r="H78" s="55"/>
      <c r="I78" s="55"/>
      <c r="J78" s="55"/>
      <c r="K78" s="55" t="b">
        <v>0</v>
      </c>
      <c r="L78" s="55"/>
    </row>
    <row r="79">
      <c r="A79" s="60"/>
      <c r="B79" s="60"/>
      <c r="C79" s="60"/>
      <c r="D79" s="61"/>
      <c r="E79" s="62"/>
      <c r="F79" s="60"/>
      <c r="G79" s="60"/>
      <c r="H79" s="60"/>
      <c r="I79" s="60"/>
      <c r="J79" s="60"/>
      <c r="K79" s="60" t="b">
        <v>0</v>
      </c>
      <c r="L79" s="60"/>
    </row>
    <row r="80">
      <c r="A80" s="55"/>
      <c r="B80" s="55"/>
      <c r="C80" s="55"/>
      <c r="D80" s="57"/>
      <c r="E80" s="58"/>
      <c r="F80" s="55"/>
      <c r="G80" s="55"/>
      <c r="H80" s="55"/>
      <c r="I80" s="55"/>
      <c r="J80" s="55"/>
      <c r="K80" s="55" t="b">
        <v>0</v>
      </c>
      <c r="L80" s="55"/>
    </row>
    <row r="81">
      <c r="A81" s="60"/>
      <c r="B81" s="60"/>
      <c r="C81" s="60"/>
      <c r="D81" s="61"/>
      <c r="E81" s="62"/>
      <c r="F81" s="60"/>
      <c r="G81" s="60"/>
      <c r="H81" s="60"/>
      <c r="I81" s="60"/>
      <c r="J81" s="60"/>
      <c r="K81" s="60" t="b">
        <v>0</v>
      </c>
      <c r="L81" s="60"/>
    </row>
    <row r="82">
      <c r="A82" s="55"/>
      <c r="B82" s="55"/>
      <c r="C82" s="55"/>
      <c r="D82" s="57"/>
      <c r="E82" s="58"/>
      <c r="F82" s="55"/>
      <c r="G82" s="55"/>
      <c r="H82" s="55"/>
      <c r="I82" s="55"/>
      <c r="J82" s="55"/>
      <c r="K82" s="55" t="b">
        <v>0</v>
      </c>
      <c r="L82" s="55"/>
    </row>
    <row r="83">
      <c r="A83" s="60"/>
      <c r="B83" s="60"/>
      <c r="C83" s="60"/>
      <c r="D83" s="61"/>
      <c r="E83" s="62"/>
      <c r="F83" s="60"/>
      <c r="G83" s="60"/>
      <c r="H83" s="60"/>
      <c r="I83" s="60"/>
      <c r="J83" s="60"/>
      <c r="K83" s="60" t="b">
        <v>0</v>
      </c>
      <c r="L83" s="60"/>
    </row>
    <row r="84">
      <c r="A84" s="55"/>
      <c r="B84" s="55"/>
      <c r="C84" s="55"/>
      <c r="D84" s="57"/>
      <c r="E84" s="58"/>
      <c r="F84" s="55"/>
      <c r="G84" s="55"/>
      <c r="H84" s="55"/>
      <c r="I84" s="55"/>
      <c r="J84" s="55"/>
      <c r="K84" s="55" t="b">
        <v>0</v>
      </c>
      <c r="L84" s="55"/>
    </row>
    <row r="85">
      <c r="A85" s="60"/>
      <c r="B85" s="60"/>
      <c r="C85" s="60"/>
      <c r="D85" s="61"/>
      <c r="E85" s="62"/>
      <c r="F85" s="60"/>
      <c r="G85" s="60"/>
      <c r="H85" s="60"/>
      <c r="I85" s="60"/>
      <c r="J85" s="60"/>
      <c r="K85" s="60" t="b">
        <v>0</v>
      </c>
      <c r="L85" s="60"/>
    </row>
    <row r="86">
      <c r="A86" s="55"/>
      <c r="B86" s="55"/>
      <c r="C86" s="55"/>
      <c r="D86" s="57"/>
      <c r="E86" s="58"/>
      <c r="F86" s="55"/>
      <c r="G86" s="55"/>
      <c r="H86" s="55"/>
      <c r="I86" s="55"/>
      <c r="J86" s="55"/>
      <c r="K86" s="55" t="b">
        <v>0</v>
      </c>
      <c r="L86" s="55"/>
    </row>
    <row r="87">
      <c r="A87" s="60"/>
      <c r="B87" s="60"/>
      <c r="C87" s="60"/>
      <c r="D87" s="61"/>
      <c r="E87" s="62"/>
      <c r="F87" s="60"/>
      <c r="G87" s="60"/>
      <c r="H87" s="60"/>
      <c r="I87" s="60"/>
      <c r="J87" s="60"/>
      <c r="K87" s="60" t="b">
        <v>0</v>
      </c>
      <c r="L87" s="60"/>
    </row>
    <row r="88">
      <c r="A88" s="55"/>
      <c r="B88" s="55"/>
      <c r="C88" s="55"/>
      <c r="D88" s="57"/>
      <c r="E88" s="58"/>
      <c r="F88" s="55"/>
      <c r="G88" s="55"/>
      <c r="H88" s="55"/>
      <c r="I88" s="55"/>
      <c r="J88" s="55"/>
      <c r="K88" s="55" t="b">
        <v>0</v>
      </c>
      <c r="L88" s="55"/>
    </row>
    <row r="89">
      <c r="A89" s="60"/>
      <c r="B89" s="60"/>
      <c r="C89" s="60"/>
      <c r="D89" s="61"/>
      <c r="E89" s="62"/>
      <c r="F89" s="60"/>
      <c r="G89" s="60"/>
      <c r="H89" s="60"/>
      <c r="I89" s="60"/>
      <c r="J89" s="60"/>
      <c r="K89" s="60" t="b">
        <v>0</v>
      </c>
      <c r="L89" s="60"/>
    </row>
    <row r="90">
      <c r="A90" s="55"/>
      <c r="B90" s="55"/>
      <c r="C90" s="55"/>
      <c r="D90" s="57"/>
      <c r="E90" s="58"/>
      <c r="F90" s="55"/>
      <c r="G90" s="55"/>
      <c r="H90" s="55"/>
      <c r="I90" s="55"/>
      <c r="J90" s="55"/>
      <c r="K90" s="55" t="b">
        <v>0</v>
      </c>
      <c r="L90" s="55"/>
    </row>
    <row r="91">
      <c r="A91" s="60"/>
      <c r="B91" s="60"/>
      <c r="C91" s="60"/>
      <c r="D91" s="61"/>
      <c r="E91" s="62"/>
      <c r="F91" s="60"/>
      <c r="G91" s="60"/>
      <c r="H91" s="60"/>
      <c r="I91" s="60"/>
      <c r="J91" s="60"/>
      <c r="K91" s="60" t="b">
        <v>0</v>
      </c>
      <c r="L91" s="60"/>
    </row>
    <row r="92">
      <c r="A92" s="55"/>
      <c r="B92" s="55"/>
      <c r="C92" s="55"/>
      <c r="D92" s="57"/>
      <c r="E92" s="58"/>
      <c r="F92" s="55"/>
      <c r="G92" s="55"/>
      <c r="H92" s="55"/>
      <c r="I92" s="55"/>
      <c r="J92" s="55"/>
      <c r="K92" s="55" t="b">
        <v>0</v>
      </c>
      <c r="L92" s="55"/>
    </row>
    <row r="93">
      <c r="A93" s="60"/>
      <c r="B93" s="60"/>
      <c r="C93" s="60"/>
      <c r="D93" s="61"/>
      <c r="E93" s="62"/>
      <c r="F93" s="60"/>
      <c r="G93" s="60"/>
      <c r="H93" s="60"/>
      <c r="I93" s="60"/>
      <c r="J93" s="60"/>
      <c r="K93" s="60" t="b">
        <v>0</v>
      </c>
      <c r="L93" s="60"/>
    </row>
    <row r="94">
      <c r="A94" s="55"/>
      <c r="B94" s="55"/>
      <c r="C94" s="55"/>
      <c r="D94" s="57"/>
      <c r="E94" s="58"/>
      <c r="F94" s="55"/>
      <c r="G94" s="55"/>
      <c r="H94" s="55"/>
      <c r="I94" s="55"/>
      <c r="J94" s="55"/>
      <c r="K94" s="55" t="b">
        <v>0</v>
      </c>
      <c r="L94" s="55"/>
    </row>
    <row r="95">
      <c r="A95" s="60"/>
      <c r="B95" s="60"/>
      <c r="C95" s="60"/>
      <c r="D95" s="61"/>
      <c r="E95" s="62"/>
      <c r="F95" s="60"/>
      <c r="G95" s="60"/>
      <c r="H95" s="60"/>
      <c r="I95" s="60"/>
      <c r="J95" s="60"/>
      <c r="K95" s="60" t="b">
        <v>0</v>
      </c>
      <c r="L95" s="60"/>
    </row>
    <row r="96">
      <c r="A96" s="55"/>
      <c r="B96" s="55"/>
      <c r="C96" s="55"/>
      <c r="D96" s="57"/>
      <c r="E96" s="58"/>
      <c r="F96" s="55"/>
      <c r="G96" s="55"/>
      <c r="H96" s="55"/>
      <c r="I96" s="55"/>
      <c r="J96" s="55"/>
      <c r="K96" s="55" t="b">
        <v>0</v>
      </c>
      <c r="L96" s="55"/>
    </row>
    <row r="97">
      <c r="A97" s="60"/>
      <c r="B97" s="60"/>
      <c r="C97" s="60"/>
      <c r="D97" s="61"/>
      <c r="E97" s="62"/>
      <c r="F97" s="60"/>
      <c r="G97" s="60"/>
      <c r="H97" s="60"/>
      <c r="I97" s="60"/>
      <c r="J97" s="60"/>
      <c r="K97" s="60" t="b">
        <v>0</v>
      </c>
      <c r="L97" s="60"/>
    </row>
    <row r="98">
      <c r="A98" s="55"/>
      <c r="B98" s="55"/>
      <c r="C98" s="55"/>
      <c r="D98" s="57"/>
      <c r="E98" s="58"/>
      <c r="F98" s="55"/>
      <c r="G98" s="55"/>
      <c r="H98" s="55"/>
      <c r="I98" s="55"/>
      <c r="J98" s="55"/>
      <c r="K98" s="55" t="b">
        <v>0</v>
      </c>
      <c r="L98" s="55"/>
    </row>
    <row r="99">
      <c r="A99" s="60"/>
      <c r="B99" s="60"/>
      <c r="C99" s="60"/>
      <c r="D99" s="61"/>
      <c r="E99" s="62"/>
      <c r="F99" s="60"/>
      <c r="G99" s="60"/>
      <c r="H99" s="60"/>
      <c r="I99" s="60"/>
      <c r="J99" s="60"/>
      <c r="K99" s="60" t="b">
        <v>0</v>
      </c>
      <c r="L99" s="60"/>
    </row>
    <row r="100">
      <c r="A100" s="55"/>
      <c r="B100" s="55"/>
      <c r="C100" s="55"/>
      <c r="D100" s="57"/>
      <c r="E100" s="58"/>
      <c r="F100" s="55"/>
      <c r="G100" s="55"/>
      <c r="H100" s="55"/>
      <c r="I100" s="55"/>
      <c r="J100" s="55"/>
      <c r="K100" s="55" t="b">
        <v>0</v>
      </c>
      <c r="L100" s="55"/>
    </row>
    <row r="101">
      <c r="A101" s="60"/>
      <c r="B101" s="60"/>
      <c r="C101" s="60"/>
      <c r="D101" s="61"/>
      <c r="E101" s="62"/>
      <c r="F101" s="60"/>
      <c r="G101" s="60"/>
      <c r="H101" s="60"/>
      <c r="I101" s="60"/>
      <c r="J101" s="60"/>
      <c r="K101" s="60" t="b">
        <v>0</v>
      </c>
      <c r="L101" s="60"/>
    </row>
    <row r="102">
      <c r="A102" s="55"/>
      <c r="B102" s="55"/>
      <c r="C102" s="55"/>
      <c r="D102" s="57"/>
      <c r="E102" s="58"/>
      <c r="F102" s="55"/>
      <c r="G102" s="55"/>
      <c r="H102" s="55"/>
      <c r="I102" s="55"/>
      <c r="J102" s="55"/>
      <c r="K102" s="55" t="b">
        <v>0</v>
      </c>
      <c r="L102" s="55"/>
    </row>
    <row r="103">
      <c r="A103" s="60"/>
      <c r="B103" s="60"/>
      <c r="C103" s="60"/>
      <c r="D103" s="61"/>
      <c r="E103" s="62"/>
      <c r="F103" s="60"/>
      <c r="G103" s="60"/>
      <c r="H103" s="60"/>
      <c r="I103" s="60"/>
      <c r="J103" s="60"/>
      <c r="K103" s="60" t="b">
        <v>0</v>
      </c>
      <c r="L103" s="60"/>
    </row>
    <row r="104">
      <c r="A104" s="55"/>
      <c r="B104" s="55"/>
      <c r="C104" s="55"/>
      <c r="D104" s="57"/>
      <c r="E104" s="58"/>
      <c r="F104" s="55"/>
      <c r="G104" s="55"/>
      <c r="H104" s="55"/>
      <c r="I104" s="55"/>
      <c r="J104" s="55"/>
      <c r="K104" s="55" t="b">
        <v>0</v>
      </c>
      <c r="L104" s="55"/>
    </row>
    <row r="105">
      <c r="A105" s="60"/>
      <c r="B105" s="60"/>
      <c r="C105" s="60"/>
      <c r="D105" s="61"/>
      <c r="E105" s="62"/>
      <c r="F105" s="60"/>
      <c r="G105" s="60"/>
      <c r="H105" s="60"/>
      <c r="I105" s="60"/>
      <c r="J105" s="60"/>
      <c r="K105" s="60" t="b">
        <v>0</v>
      </c>
      <c r="L105" s="60"/>
    </row>
    <row r="106">
      <c r="A106" s="55"/>
      <c r="B106" s="55"/>
      <c r="C106" s="55"/>
      <c r="D106" s="57"/>
      <c r="E106" s="58"/>
      <c r="F106" s="55"/>
      <c r="G106" s="55"/>
      <c r="H106" s="55"/>
      <c r="I106" s="55"/>
      <c r="J106" s="55"/>
      <c r="K106" s="55" t="b">
        <v>0</v>
      </c>
      <c r="L106" s="55"/>
    </row>
    <row r="107">
      <c r="A107" s="60"/>
      <c r="B107" s="60"/>
      <c r="C107" s="60"/>
      <c r="D107" s="61"/>
      <c r="E107" s="62"/>
      <c r="F107" s="60"/>
      <c r="G107" s="60"/>
      <c r="H107" s="60"/>
      <c r="I107" s="60"/>
      <c r="J107" s="60"/>
      <c r="K107" s="60" t="b">
        <v>0</v>
      </c>
      <c r="L107" s="60"/>
    </row>
    <row r="108">
      <c r="A108" s="55"/>
      <c r="B108" s="55"/>
      <c r="C108" s="55"/>
      <c r="D108" s="57"/>
      <c r="E108" s="58"/>
      <c r="F108" s="55"/>
      <c r="G108" s="55"/>
      <c r="H108" s="55"/>
      <c r="I108" s="55"/>
      <c r="J108" s="55"/>
      <c r="K108" s="55" t="b">
        <v>0</v>
      </c>
      <c r="L108" s="55"/>
    </row>
    <row r="109">
      <c r="A109" s="60"/>
      <c r="B109" s="60"/>
      <c r="C109" s="60"/>
      <c r="D109" s="61"/>
      <c r="E109" s="62"/>
      <c r="F109" s="60"/>
      <c r="G109" s="60"/>
      <c r="H109" s="60"/>
      <c r="I109" s="60"/>
      <c r="J109" s="60"/>
      <c r="K109" s="60" t="b">
        <v>0</v>
      </c>
      <c r="L109" s="60"/>
    </row>
    <row r="110">
      <c r="A110" s="55"/>
      <c r="B110" s="55"/>
      <c r="C110" s="55"/>
      <c r="D110" s="57"/>
      <c r="E110" s="58"/>
      <c r="F110" s="55"/>
      <c r="G110" s="55"/>
      <c r="H110" s="55"/>
      <c r="I110" s="55"/>
      <c r="J110" s="55"/>
      <c r="K110" s="55" t="b">
        <v>0</v>
      </c>
      <c r="L110" s="55"/>
    </row>
    <row r="111">
      <c r="A111" s="60"/>
      <c r="B111" s="60"/>
      <c r="C111" s="60"/>
      <c r="D111" s="61"/>
      <c r="E111" s="62"/>
      <c r="F111" s="60"/>
      <c r="G111" s="60"/>
      <c r="H111" s="60"/>
      <c r="I111" s="60"/>
      <c r="J111" s="60"/>
      <c r="K111" s="60" t="b">
        <v>0</v>
      </c>
      <c r="L111" s="60"/>
    </row>
    <row r="112">
      <c r="A112" s="55"/>
      <c r="B112" s="55"/>
      <c r="C112" s="55"/>
      <c r="D112" s="57"/>
      <c r="E112" s="58"/>
      <c r="F112" s="55"/>
      <c r="G112" s="55"/>
      <c r="H112" s="55"/>
      <c r="I112" s="55"/>
      <c r="J112" s="55"/>
      <c r="K112" s="55" t="b">
        <v>0</v>
      </c>
      <c r="L112" s="55"/>
    </row>
    <row r="113">
      <c r="A113" s="60"/>
      <c r="B113" s="60"/>
      <c r="C113" s="60"/>
      <c r="D113" s="61"/>
      <c r="E113" s="62"/>
      <c r="F113" s="60"/>
      <c r="G113" s="60"/>
      <c r="H113" s="60"/>
      <c r="I113" s="60"/>
      <c r="J113" s="60"/>
      <c r="K113" s="60" t="b">
        <v>0</v>
      </c>
      <c r="L113" s="60"/>
    </row>
    <row r="114">
      <c r="A114" s="55"/>
      <c r="B114" s="55"/>
      <c r="C114" s="55"/>
      <c r="D114" s="57"/>
      <c r="E114" s="58"/>
      <c r="F114" s="55"/>
      <c r="G114" s="55"/>
      <c r="H114" s="55"/>
      <c r="I114" s="55"/>
      <c r="J114" s="55"/>
      <c r="K114" s="55" t="b">
        <v>0</v>
      </c>
      <c r="L114" s="55"/>
    </row>
    <row r="115">
      <c r="A115" s="60"/>
      <c r="B115" s="60"/>
      <c r="C115" s="60"/>
      <c r="D115" s="61"/>
      <c r="E115" s="62"/>
      <c r="F115" s="60"/>
      <c r="G115" s="60"/>
      <c r="H115" s="60"/>
      <c r="I115" s="60"/>
      <c r="J115" s="60"/>
      <c r="K115" s="60" t="b">
        <v>0</v>
      </c>
      <c r="L115" s="60"/>
    </row>
    <row r="116">
      <c r="A116" s="55"/>
      <c r="B116" s="55"/>
      <c r="C116" s="55"/>
      <c r="D116" s="57"/>
      <c r="E116" s="58"/>
      <c r="F116" s="55"/>
      <c r="G116" s="55"/>
      <c r="H116" s="55"/>
      <c r="I116" s="55"/>
      <c r="J116" s="55"/>
      <c r="K116" s="55" t="b">
        <v>0</v>
      </c>
      <c r="L116" s="55"/>
    </row>
    <row r="117">
      <c r="A117" s="60"/>
      <c r="B117" s="60"/>
      <c r="C117" s="60"/>
      <c r="D117" s="61"/>
      <c r="E117" s="62"/>
      <c r="F117" s="60"/>
      <c r="G117" s="60"/>
      <c r="H117" s="60"/>
      <c r="I117" s="60"/>
      <c r="J117" s="60"/>
      <c r="K117" s="60" t="b">
        <v>0</v>
      </c>
      <c r="L117" s="60"/>
    </row>
    <row r="118">
      <c r="A118" s="55"/>
      <c r="B118" s="55"/>
      <c r="C118" s="55"/>
      <c r="D118" s="57"/>
      <c r="E118" s="58"/>
      <c r="F118" s="55"/>
      <c r="G118" s="55"/>
      <c r="H118" s="55"/>
      <c r="I118" s="55"/>
      <c r="J118" s="55"/>
      <c r="K118" s="55" t="b">
        <v>0</v>
      </c>
      <c r="L118" s="55"/>
    </row>
    <row r="119">
      <c r="A119" s="60"/>
      <c r="B119" s="60"/>
      <c r="C119" s="60"/>
      <c r="D119" s="61"/>
      <c r="E119" s="62"/>
      <c r="F119" s="60"/>
      <c r="G119" s="60"/>
      <c r="H119" s="60"/>
      <c r="I119" s="60"/>
      <c r="J119" s="60"/>
      <c r="K119" s="60" t="b">
        <v>0</v>
      </c>
      <c r="L119" s="60"/>
    </row>
    <row r="120">
      <c r="A120" s="55"/>
      <c r="B120" s="55"/>
      <c r="C120" s="55"/>
      <c r="D120" s="57"/>
      <c r="E120" s="58"/>
      <c r="F120" s="55"/>
      <c r="G120" s="55"/>
      <c r="H120" s="55"/>
      <c r="I120" s="55"/>
      <c r="J120" s="55"/>
      <c r="K120" s="55" t="b">
        <v>0</v>
      </c>
      <c r="L120" s="55"/>
    </row>
    <row r="121">
      <c r="A121" s="60"/>
      <c r="B121" s="60"/>
      <c r="C121" s="60"/>
      <c r="D121" s="61"/>
      <c r="E121" s="62"/>
      <c r="F121" s="60"/>
      <c r="G121" s="60"/>
      <c r="H121" s="60"/>
      <c r="I121" s="60"/>
      <c r="J121" s="60"/>
      <c r="K121" s="60" t="b">
        <v>0</v>
      </c>
      <c r="L121" s="60"/>
    </row>
    <row r="122">
      <c r="A122" s="55"/>
      <c r="B122" s="55"/>
      <c r="C122" s="55"/>
      <c r="D122" s="57"/>
      <c r="E122" s="58"/>
      <c r="F122" s="55"/>
      <c r="G122" s="55"/>
      <c r="H122" s="55"/>
      <c r="I122" s="55"/>
      <c r="J122" s="55"/>
      <c r="K122" s="55" t="b">
        <v>0</v>
      </c>
      <c r="L122" s="55"/>
    </row>
    <row r="123">
      <c r="A123" s="60"/>
      <c r="B123" s="60"/>
      <c r="C123" s="60"/>
      <c r="D123" s="61"/>
      <c r="E123" s="62"/>
      <c r="F123" s="60"/>
      <c r="G123" s="60"/>
      <c r="H123" s="60"/>
      <c r="I123" s="60"/>
      <c r="J123" s="60"/>
      <c r="K123" s="60" t="b">
        <v>0</v>
      </c>
      <c r="L123" s="60"/>
    </row>
    <row r="124">
      <c r="A124" s="55"/>
      <c r="B124" s="55"/>
      <c r="C124" s="55"/>
      <c r="D124" s="57"/>
      <c r="E124" s="58"/>
      <c r="F124" s="55"/>
      <c r="G124" s="55"/>
      <c r="H124" s="55"/>
      <c r="I124" s="55"/>
      <c r="J124" s="55"/>
      <c r="K124" s="55" t="b">
        <v>0</v>
      </c>
      <c r="L124" s="55"/>
    </row>
    <row r="125">
      <c r="A125" s="60"/>
      <c r="B125" s="60"/>
      <c r="C125" s="60"/>
      <c r="D125" s="61"/>
      <c r="E125" s="62"/>
      <c r="F125" s="60"/>
      <c r="G125" s="60"/>
      <c r="H125" s="60"/>
      <c r="I125" s="60"/>
      <c r="J125" s="60"/>
      <c r="K125" s="60" t="b">
        <v>0</v>
      </c>
      <c r="L125" s="60"/>
    </row>
    <row r="126">
      <c r="A126" s="55"/>
      <c r="B126" s="55"/>
      <c r="C126" s="55"/>
      <c r="D126" s="57"/>
      <c r="E126" s="58"/>
      <c r="F126" s="55"/>
      <c r="G126" s="55"/>
      <c r="H126" s="55"/>
      <c r="I126" s="55"/>
      <c r="J126" s="55"/>
      <c r="K126" s="55" t="b">
        <v>0</v>
      </c>
      <c r="L126" s="55"/>
    </row>
    <row r="127">
      <c r="A127" s="60"/>
      <c r="B127" s="60"/>
      <c r="C127" s="60"/>
      <c r="D127" s="61"/>
      <c r="E127" s="62"/>
      <c r="F127" s="60"/>
      <c r="G127" s="60"/>
      <c r="H127" s="60"/>
      <c r="I127" s="60"/>
      <c r="J127" s="60"/>
      <c r="K127" s="60" t="b">
        <v>0</v>
      </c>
      <c r="L127" s="60"/>
    </row>
    <row r="128">
      <c r="A128" s="55"/>
      <c r="B128" s="55"/>
      <c r="C128" s="55"/>
      <c r="D128" s="57"/>
      <c r="E128" s="58"/>
      <c r="F128" s="55"/>
      <c r="G128" s="55"/>
      <c r="H128" s="55"/>
      <c r="I128" s="55"/>
      <c r="J128" s="55"/>
      <c r="K128" s="55" t="b">
        <v>0</v>
      </c>
      <c r="L128" s="55"/>
    </row>
    <row r="129">
      <c r="A129" s="60"/>
      <c r="B129" s="60"/>
      <c r="C129" s="60"/>
      <c r="D129" s="61"/>
      <c r="E129" s="62"/>
      <c r="F129" s="60"/>
      <c r="G129" s="60"/>
      <c r="H129" s="60"/>
      <c r="I129" s="60"/>
      <c r="J129" s="60"/>
      <c r="K129" s="60" t="b">
        <v>0</v>
      </c>
      <c r="L129" s="60"/>
    </row>
    <row r="130">
      <c r="A130" s="55"/>
      <c r="B130" s="55"/>
      <c r="C130" s="55"/>
      <c r="D130" s="57"/>
      <c r="E130" s="58"/>
      <c r="F130" s="55"/>
      <c r="G130" s="55"/>
      <c r="H130" s="55"/>
      <c r="I130" s="55"/>
      <c r="J130" s="55"/>
      <c r="K130" s="55" t="b">
        <v>0</v>
      </c>
      <c r="L130" s="55"/>
    </row>
    <row r="131">
      <c r="A131" s="60"/>
      <c r="B131" s="60"/>
      <c r="C131" s="60"/>
      <c r="D131" s="61"/>
      <c r="E131" s="62"/>
      <c r="F131" s="60"/>
      <c r="G131" s="60"/>
      <c r="H131" s="60"/>
      <c r="I131" s="60"/>
      <c r="J131" s="60"/>
      <c r="K131" s="60" t="b">
        <v>0</v>
      </c>
      <c r="L131" s="60"/>
    </row>
    <row r="132">
      <c r="A132" s="55"/>
      <c r="B132" s="55"/>
      <c r="C132" s="55"/>
      <c r="D132" s="57"/>
      <c r="E132" s="58"/>
      <c r="F132" s="55"/>
      <c r="G132" s="55"/>
      <c r="H132" s="55"/>
      <c r="I132" s="55"/>
      <c r="J132" s="55"/>
      <c r="K132" s="55" t="b">
        <v>0</v>
      </c>
      <c r="L132" s="55"/>
    </row>
    <row r="133">
      <c r="A133" s="60"/>
      <c r="B133" s="60"/>
      <c r="C133" s="60"/>
      <c r="D133" s="61"/>
      <c r="E133" s="62"/>
      <c r="F133" s="60"/>
      <c r="G133" s="60"/>
      <c r="H133" s="60"/>
      <c r="I133" s="60"/>
      <c r="J133" s="60"/>
      <c r="K133" s="60" t="b">
        <v>0</v>
      </c>
      <c r="L133" s="60"/>
    </row>
    <row r="134">
      <c r="A134" s="55"/>
      <c r="B134" s="55"/>
      <c r="C134" s="55"/>
      <c r="D134" s="57"/>
      <c r="E134" s="58"/>
      <c r="F134" s="55"/>
      <c r="G134" s="55"/>
      <c r="H134" s="55"/>
      <c r="I134" s="55"/>
      <c r="J134" s="55"/>
      <c r="K134" s="55" t="b">
        <v>0</v>
      </c>
      <c r="L134" s="55"/>
    </row>
    <row r="135">
      <c r="A135" s="60"/>
      <c r="B135" s="60"/>
      <c r="C135" s="60"/>
      <c r="D135" s="61"/>
      <c r="E135" s="62"/>
      <c r="F135" s="60"/>
      <c r="G135" s="60"/>
      <c r="H135" s="60"/>
      <c r="I135" s="60"/>
      <c r="J135" s="60"/>
      <c r="K135" s="60" t="b">
        <v>0</v>
      </c>
      <c r="L135" s="60"/>
    </row>
    <row r="136">
      <c r="A136" s="55"/>
      <c r="B136" s="55"/>
      <c r="C136" s="55"/>
      <c r="D136" s="57"/>
      <c r="E136" s="58"/>
      <c r="F136" s="55"/>
      <c r="G136" s="55"/>
      <c r="H136" s="55"/>
      <c r="I136" s="55"/>
      <c r="J136" s="55"/>
      <c r="K136" s="55" t="b">
        <v>0</v>
      </c>
      <c r="L136" s="55"/>
    </row>
    <row r="137">
      <c r="A137" s="60"/>
      <c r="B137" s="60"/>
      <c r="C137" s="60"/>
      <c r="D137" s="61"/>
      <c r="E137" s="62"/>
      <c r="F137" s="60"/>
      <c r="G137" s="60"/>
      <c r="H137" s="60"/>
      <c r="I137" s="60"/>
      <c r="J137" s="60"/>
      <c r="K137" s="60" t="b">
        <v>0</v>
      </c>
      <c r="L137" s="60"/>
    </row>
    <row r="138">
      <c r="A138" s="55"/>
      <c r="B138" s="55"/>
      <c r="C138" s="55"/>
      <c r="D138" s="57"/>
      <c r="E138" s="58"/>
      <c r="F138" s="55"/>
      <c r="G138" s="55"/>
      <c r="H138" s="55"/>
      <c r="I138" s="55"/>
      <c r="J138" s="55"/>
      <c r="K138" s="55" t="b">
        <v>0</v>
      </c>
      <c r="L138" s="55"/>
    </row>
    <row r="139">
      <c r="A139" s="60"/>
      <c r="B139" s="60"/>
      <c r="C139" s="60"/>
      <c r="D139" s="61"/>
      <c r="E139" s="62"/>
      <c r="F139" s="60"/>
      <c r="G139" s="60"/>
      <c r="H139" s="60"/>
      <c r="I139" s="60"/>
      <c r="J139" s="60"/>
      <c r="K139" s="60" t="b">
        <v>0</v>
      </c>
      <c r="L139" s="60"/>
    </row>
    <row r="140">
      <c r="A140" s="55"/>
      <c r="B140" s="55"/>
      <c r="C140" s="55"/>
      <c r="D140" s="57"/>
      <c r="E140" s="58"/>
      <c r="F140" s="55"/>
      <c r="G140" s="55"/>
      <c r="H140" s="55"/>
      <c r="I140" s="55"/>
      <c r="J140" s="55"/>
      <c r="K140" s="55" t="b">
        <v>0</v>
      </c>
      <c r="L140" s="55"/>
    </row>
    <row r="141">
      <c r="A141" s="60"/>
      <c r="B141" s="60"/>
      <c r="C141" s="60"/>
      <c r="D141" s="61"/>
      <c r="E141" s="62"/>
      <c r="F141" s="60"/>
      <c r="G141" s="60"/>
      <c r="H141" s="60"/>
      <c r="I141" s="60"/>
      <c r="J141" s="60"/>
      <c r="K141" s="60" t="b">
        <v>0</v>
      </c>
      <c r="L141" s="60"/>
    </row>
    <row r="142">
      <c r="A142" s="55"/>
      <c r="B142" s="55"/>
      <c r="C142" s="55"/>
      <c r="D142" s="57"/>
      <c r="E142" s="58"/>
      <c r="F142" s="55"/>
      <c r="G142" s="55"/>
      <c r="H142" s="55"/>
      <c r="I142" s="55"/>
      <c r="J142" s="55"/>
      <c r="K142" s="55" t="b">
        <v>0</v>
      </c>
      <c r="L142" s="55"/>
    </row>
    <row r="143">
      <c r="A143" s="60"/>
      <c r="B143" s="60"/>
      <c r="C143" s="60"/>
      <c r="D143" s="61"/>
      <c r="E143" s="62"/>
      <c r="F143" s="60"/>
      <c r="G143" s="60"/>
      <c r="H143" s="60"/>
      <c r="I143" s="60"/>
      <c r="J143" s="60"/>
      <c r="K143" s="60" t="b">
        <v>0</v>
      </c>
      <c r="L143" s="60"/>
    </row>
    <row r="144">
      <c r="A144" s="55"/>
      <c r="B144" s="55"/>
      <c r="C144" s="55"/>
      <c r="D144" s="57"/>
      <c r="E144" s="58"/>
      <c r="F144" s="55"/>
      <c r="G144" s="55"/>
      <c r="H144" s="55"/>
      <c r="I144" s="55"/>
      <c r="J144" s="55"/>
      <c r="K144" s="55" t="b">
        <v>0</v>
      </c>
      <c r="L144" s="55"/>
    </row>
    <row r="145">
      <c r="A145" s="60"/>
      <c r="B145" s="60"/>
      <c r="C145" s="60"/>
      <c r="D145" s="61"/>
      <c r="E145" s="62"/>
      <c r="F145" s="60"/>
      <c r="G145" s="60"/>
      <c r="H145" s="60"/>
      <c r="I145" s="60"/>
      <c r="J145" s="60"/>
      <c r="K145" s="60" t="b">
        <v>0</v>
      </c>
      <c r="L145" s="60"/>
    </row>
    <row r="146">
      <c r="A146" s="55"/>
      <c r="B146" s="55"/>
      <c r="C146" s="55"/>
      <c r="D146" s="57"/>
      <c r="E146" s="58"/>
      <c r="F146" s="55"/>
      <c r="G146" s="55"/>
      <c r="H146" s="55"/>
      <c r="I146" s="55"/>
      <c r="J146" s="55"/>
      <c r="K146" s="55" t="b">
        <v>0</v>
      </c>
      <c r="L146" s="55"/>
    </row>
    <row r="147">
      <c r="A147" s="60"/>
      <c r="B147" s="60"/>
      <c r="C147" s="60"/>
      <c r="D147" s="61"/>
      <c r="E147" s="62"/>
      <c r="F147" s="60"/>
      <c r="G147" s="60"/>
      <c r="H147" s="60"/>
      <c r="I147" s="60"/>
      <c r="J147" s="60"/>
      <c r="K147" s="60" t="b">
        <v>0</v>
      </c>
      <c r="L147" s="60"/>
    </row>
    <row r="148">
      <c r="A148" s="55"/>
      <c r="B148" s="55"/>
      <c r="C148" s="55"/>
      <c r="D148" s="57"/>
      <c r="E148" s="58"/>
      <c r="F148" s="55"/>
      <c r="G148" s="55"/>
      <c r="H148" s="55"/>
      <c r="I148" s="55"/>
      <c r="J148" s="55"/>
      <c r="K148" s="55" t="b">
        <v>0</v>
      </c>
      <c r="L148" s="55"/>
    </row>
    <row r="149">
      <c r="A149" s="60"/>
      <c r="B149" s="60"/>
      <c r="C149" s="60"/>
      <c r="D149" s="61"/>
      <c r="E149" s="62"/>
      <c r="F149" s="60"/>
      <c r="G149" s="60"/>
      <c r="H149" s="60"/>
      <c r="I149" s="60"/>
      <c r="J149" s="60"/>
      <c r="K149" s="60" t="b">
        <v>0</v>
      </c>
      <c r="L149" s="60"/>
    </row>
    <row r="150">
      <c r="A150" s="55"/>
      <c r="B150" s="55"/>
      <c r="C150" s="55"/>
      <c r="D150" s="57"/>
      <c r="E150" s="58"/>
      <c r="F150" s="55"/>
      <c r="G150" s="55"/>
      <c r="H150" s="55"/>
      <c r="I150" s="55"/>
      <c r="J150" s="55"/>
      <c r="K150" s="55" t="b">
        <v>0</v>
      </c>
      <c r="L150" s="55"/>
    </row>
    <row r="151">
      <c r="A151" s="60"/>
      <c r="B151" s="60"/>
      <c r="C151" s="60"/>
      <c r="D151" s="61"/>
      <c r="E151" s="62"/>
      <c r="F151" s="60"/>
      <c r="G151" s="60"/>
      <c r="H151" s="60"/>
      <c r="I151" s="60"/>
      <c r="J151" s="60"/>
      <c r="K151" s="60" t="b">
        <v>0</v>
      </c>
      <c r="L151" s="60"/>
    </row>
    <row r="152">
      <c r="A152" s="55"/>
      <c r="B152" s="55"/>
      <c r="C152" s="55"/>
      <c r="D152" s="57"/>
      <c r="E152" s="58"/>
      <c r="F152" s="55"/>
      <c r="G152" s="55"/>
      <c r="H152" s="55"/>
      <c r="I152" s="55"/>
      <c r="J152" s="55"/>
      <c r="K152" s="55" t="b">
        <v>0</v>
      </c>
      <c r="L152" s="55"/>
    </row>
    <row r="153">
      <c r="A153" s="60"/>
      <c r="B153" s="60"/>
      <c r="C153" s="60"/>
      <c r="D153" s="61"/>
      <c r="E153" s="62"/>
      <c r="F153" s="60"/>
      <c r="G153" s="60"/>
      <c r="H153" s="60"/>
      <c r="I153" s="60"/>
      <c r="J153" s="60"/>
      <c r="K153" s="60" t="b">
        <v>0</v>
      </c>
      <c r="L153" s="60"/>
    </row>
    <row r="154">
      <c r="A154" s="55"/>
      <c r="B154" s="55"/>
      <c r="C154" s="55"/>
      <c r="D154" s="57"/>
      <c r="E154" s="58"/>
      <c r="F154" s="55"/>
      <c r="G154" s="55"/>
      <c r="H154" s="55"/>
      <c r="I154" s="55"/>
      <c r="J154" s="55"/>
      <c r="K154" s="55" t="b">
        <v>0</v>
      </c>
      <c r="L154" s="55"/>
    </row>
    <row r="155">
      <c r="A155" s="60"/>
      <c r="B155" s="60"/>
      <c r="C155" s="60"/>
      <c r="D155" s="61"/>
      <c r="E155" s="62"/>
      <c r="F155" s="60"/>
      <c r="G155" s="60"/>
      <c r="H155" s="60"/>
      <c r="I155" s="60"/>
      <c r="J155" s="60"/>
      <c r="K155" s="60" t="b">
        <v>0</v>
      </c>
      <c r="L155" s="60"/>
    </row>
    <row r="156">
      <c r="A156" s="55"/>
      <c r="B156" s="55"/>
      <c r="C156" s="55"/>
      <c r="D156" s="57"/>
      <c r="E156" s="58"/>
      <c r="F156" s="55"/>
      <c r="G156" s="55"/>
      <c r="H156" s="55"/>
      <c r="I156" s="55"/>
      <c r="J156" s="55"/>
      <c r="K156" s="55" t="b">
        <v>0</v>
      </c>
      <c r="L156" s="55"/>
    </row>
    <row r="157">
      <c r="A157" s="60"/>
      <c r="B157" s="60"/>
      <c r="C157" s="60"/>
      <c r="D157" s="61"/>
      <c r="E157" s="62"/>
      <c r="F157" s="60"/>
      <c r="G157" s="60"/>
      <c r="H157" s="60"/>
      <c r="I157" s="60"/>
      <c r="J157" s="60"/>
      <c r="K157" s="60" t="b">
        <v>0</v>
      </c>
      <c r="L157" s="60"/>
    </row>
    <row r="158">
      <c r="A158" s="55"/>
      <c r="B158" s="55"/>
      <c r="C158" s="55"/>
      <c r="D158" s="57"/>
      <c r="E158" s="58"/>
      <c r="F158" s="55"/>
      <c r="G158" s="55"/>
      <c r="H158" s="55"/>
      <c r="I158" s="55"/>
      <c r="J158" s="55"/>
      <c r="K158" s="55" t="b">
        <v>0</v>
      </c>
      <c r="L158" s="55"/>
    </row>
    <row r="159">
      <c r="A159" s="60"/>
      <c r="B159" s="60"/>
      <c r="C159" s="60"/>
      <c r="D159" s="61"/>
      <c r="E159" s="62"/>
      <c r="F159" s="60"/>
      <c r="G159" s="60"/>
      <c r="H159" s="60"/>
      <c r="I159" s="60"/>
      <c r="J159" s="60"/>
      <c r="K159" s="60" t="b">
        <v>0</v>
      </c>
      <c r="L159" s="60"/>
    </row>
    <row r="160">
      <c r="A160" s="55"/>
      <c r="B160" s="55"/>
      <c r="C160" s="55"/>
      <c r="D160" s="57"/>
      <c r="E160" s="58"/>
      <c r="F160" s="55"/>
      <c r="G160" s="55"/>
      <c r="H160" s="55"/>
      <c r="I160" s="55"/>
      <c r="J160" s="55"/>
      <c r="K160" s="55" t="b">
        <v>0</v>
      </c>
      <c r="L160" s="55"/>
    </row>
    <row r="161">
      <c r="A161" s="60"/>
      <c r="B161" s="60"/>
      <c r="C161" s="60"/>
      <c r="D161" s="61"/>
      <c r="E161" s="62"/>
      <c r="F161" s="60"/>
      <c r="G161" s="60"/>
      <c r="H161" s="60"/>
      <c r="I161" s="60"/>
      <c r="J161" s="60"/>
      <c r="K161" s="60" t="b">
        <v>0</v>
      </c>
      <c r="L161" s="60"/>
    </row>
    <row r="162">
      <c r="A162" s="55"/>
      <c r="B162" s="55"/>
      <c r="C162" s="55"/>
      <c r="D162" s="57"/>
      <c r="E162" s="58"/>
      <c r="F162" s="55"/>
      <c r="G162" s="55"/>
      <c r="H162" s="55"/>
      <c r="I162" s="55"/>
      <c r="J162" s="55"/>
      <c r="K162" s="55" t="b">
        <v>0</v>
      </c>
      <c r="L162" s="55"/>
    </row>
    <row r="163">
      <c r="A163" s="60"/>
      <c r="B163" s="60"/>
      <c r="C163" s="60"/>
      <c r="D163" s="61"/>
      <c r="E163" s="62"/>
      <c r="F163" s="60"/>
      <c r="G163" s="60"/>
      <c r="H163" s="60"/>
      <c r="I163" s="60"/>
      <c r="J163" s="60"/>
      <c r="K163" s="60" t="b">
        <v>0</v>
      </c>
      <c r="L163" s="60"/>
    </row>
    <row r="164">
      <c r="A164" s="55"/>
      <c r="B164" s="55"/>
      <c r="C164" s="55"/>
      <c r="D164" s="57"/>
      <c r="E164" s="58"/>
      <c r="F164" s="55"/>
      <c r="G164" s="55"/>
      <c r="H164" s="55"/>
      <c r="I164" s="55"/>
      <c r="J164" s="55"/>
      <c r="K164" s="55" t="b">
        <v>0</v>
      </c>
      <c r="L164" s="55"/>
    </row>
    <row r="165">
      <c r="A165" s="60"/>
      <c r="B165" s="60"/>
      <c r="C165" s="60"/>
      <c r="D165" s="61"/>
      <c r="E165" s="62"/>
      <c r="F165" s="60"/>
      <c r="G165" s="60"/>
      <c r="H165" s="60"/>
      <c r="I165" s="60"/>
      <c r="J165" s="60"/>
      <c r="K165" s="60" t="b">
        <v>0</v>
      </c>
      <c r="L165" s="60"/>
    </row>
    <row r="166">
      <c r="A166" s="55"/>
      <c r="B166" s="55"/>
      <c r="C166" s="55"/>
      <c r="D166" s="57"/>
      <c r="E166" s="58"/>
      <c r="F166" s="55"/>
      <c r="G166" s="55"/>
      <c r="H166" s="55"/>
      <c r="I166" s="55"/>
      <c r="J166" s="55"/>
      <c r="K166" s="55" t="b">
        <v>0</v>
      </c>
      <c r="L166" s="55"/>
    </row>
    <row r="167">
      <c r="A167" s="60"/>
      <c r="B167" s="60"/>
      <c r="C167" s="60"/>
      <c r="D167" s="61"/>
      <c r="E167" s="62"/>
      <c r="F167" s="60"/>
      <c r="G167" s="60"/>
      <c r="H167" s="60"/>
      <c r="I167" s="60"/>
      <c r="J167" s="60"/>
      <c r="K167" s="60" t="b">
        <v>0</v>
      </c>
      <c r="L167" s="60"/>
    </row>
    <row r="168">
      <c r="A168" s="55"/>
      <c r="B168" s="55"/>
      <c r="C168" s="55"/>
      <c r="D168" s="57"/>
      <c r="E168" s="58"/>
      <c r="F168" s="55"/>
      <c r="G168" s="55"/>
      <c r="H168" s="55"/>
      <c r="I168" s="55"/>
      <c r="J168" s="55"/>
      <c r="K168" s="55" t="b">
        <v>0</v>
      </c>
      <c r="L168" s="55"/>
    </row>
    <row r="169">
      <c r="A169" s="60"/>
      <c r="B169" s="60"/>
      <c r="C169" s="60"/>
      <c r="D169" s="61"/>
      <c r="E169" s="62"/>
      <c r="F169" s="60"/>
      <c r="G169" s="60"/>
      <c r="H169" s="60"/>
      <c r="I169" s="60"/>
      <c r="J169" s="60"/>
      <c r="K169" s="60" t="b">
        <v>0</v>
      </c>
      <c r="L169" s="60"/>
    </row>
    <row r="170">
      <c r="A170" s="55"/>
      <c r="B170" s="55"/>
      <c r="C170" s="55"/>
      <c r="D170" s="57"/>
      <c r="E170" s="58"/>
      <c r="F170" s="55"/>
      <c r="G170" s="55"/>
      <c r="H170" s="55"/>
      <c r="I170" s="55"/>
      <c r="J170" s="55"/>
      <c r="K170" s="55" t="b">
        <v>0</v>
      </c>
      <c r="L170" s="55"/>
    </row>
    <row r="171">
      <c r="A171" s="60"/>
      <c r="B171" s="60"/>
      <c r="C171" s="60"/>
      <c r="D171" s="61"/>
      <c r="E171" s="62"/>
      <c r="F171" s="60"/>
      <c r="G171" s="60"/>
      <c r="H171" s="60"/>
      <c r="I171" s="60"/>
      <c r="J171" s="60"/>
      <c r="K171" s="60" t="b">
        <v>0</v>
      </c>
      <c r="L171" s="60"/>
    </row>
    <row r="172">
      <c r="A172" s="55"/>
      <c r="B172" s="55"/>
      <c r="C172" s="55"/>
      <c r="D172" s="57"/>
      <c r="E172" s="58"/>
      <c r="F172" s="55"/>
      <c r="G172" s="55"/>
      <c r="H172" s="55"/>
      <c r="I172" s="55"/>
      <c r="J172" s="55"/>
      <c r="K172" s="55" t="b">
        <v>0</v>
      </c>
      <c r="L172" s="55"/>
    </row>
    <row r="173">
      <c r="A173" s="60"/>
      <c r="B173" s="60"/>
      <c r="C173" s="60"/>
      <c r="D173" s="61"/>
      <c r="E173" s="62"/>
      <c r="F173" s="60"/>
      <c r="G173" s="60"/>
      <c r="H173" s="60"/>
      <c r="I173" s="60"/>
      <c r="J173" s="60"/>
      <c r="K173" s="60" t="b">
        <v>0</v>
      </c>
      <c r="L173" s="60"/>
    </row>
    <row r="174">
      <c r="A174" s="55"/>
      <c r="B174" s="55"/>
      <c r="C174" s="55"/>
      <c r="D174" s="57"/>
      <c r="E174" s="58"/>
      <c r="F174" s="55"/>
      <c r="G174" s="55"/>
      <c r="H174" s="55"/>
      <c r="I174" s="55"/>
      <c r="J174" s="55"/>
      <c r="K174" s="55" t="b">
        <v>0</v>
      </c>
      <c r="L174" s="55"/>
    </row>
    <row r="175">
      <c r="A175" s="60"/>
      <c r="B175" s="60"/>
      <c r="C175" s="60"/>
      <c r="D175" s="61"/>
      <c r="E175" s="62"/>
      <c r="F175" s="60"/>
      <c r="G175" s="60"/>
      <c r="H175" s="60"/>
      <c r="I175" s="60"/>
      <c r="J175" s="60"/>
      <c r="K175" s="60" t="b">
        <v>0</v>
      </c>
      <c r="L175" s="60"/>
    </row>
    <row r="176">
      <c r="A176" s="55"/>
      <c r="B176" s="55"/>
      <c r="C176" s="55"/>
      <c r="D176" s="57"/>
      <c r="E176" s="58"/>
      <c r="F176" s="55"/>
      <c r="G176" s="55"/>
      <c r="H176" s="55"/>
      <c r="I176" s="55"/>
      <c r="J176" s="55"/>
      <c r="K176" s="55" t="b">
        <v>0</v>
      </c>
      <c r="L176" s="55"/>
    </row>
    <row r="177">
      <c r="A177" s="60"/>
      <c r="B177" s="60"/>
      <c r="C177" s="60"/>
      <c r="D177" s="61"/>
      <c r="E177" s="62"/>
      <c r="F177" s="60"/>
      <c r="G177" s="60"/>
      <c r="H177" s="60"/>
      <c r="I177" s="60"/>
      <c r="J177" s="60"/>
      <c r="K177" s="60" t="b">
        <v>0</v>
      </c>
      <c r="L177" s="60"/>
    </row>
    <row r="178">
      <c r="A178" s="55"/>
      <c r="B178" s="55"/>
      <c r="C178" s="55"/>
      <c r="D178" s="57"/>
      <c r="E178" s="58"/>
      <c r="F178" s="55"/>
      <c r="G178" s="55"/>
      <c r="H178" s="55"/>
      <c r="I178" s="55"/>
      <c r="J178" s="55"/>
      <c r="K178" s="55" t="b">
        <v>0</v>
      </c>
      <c r="L178" s="55"/>
    </row>
    <row r="179">
      <c r="A179" s="60"/>
      <c r="B179" s="60"/>
      <c r="C179" s="60"/>
      <c r="D179" s="61"/>
      <c r="E179" s="62"/>
      <c r="F179" s="60"/>
      <c r="G179" s="60"/>
      <c r="H179" s="60"/>
      <c r="I179" s="60"/>
      <c r="J179" s="60"/>
      <c r="K179" s="60" t="b">
        <v>0</v>
      </c>
      <c r="L179" s="60"/>
    </row>
    <row r="180">
      <c r="A180" s="55"/>
      <c r="B180" s="55"/>
      <c r="C180" s="55"/>
      <c r="D180" s="57"/>
      <c r="E180" s="58"/>
      <c r="F180" s="55"/>
      <c r="G180" s="55"/>
      <c r="H180" s="55"/>
      <c r="I180" s="55"/>
      <c r="J180" s="55"/>
      <c r="K180" s="55" t="b">
        <v>0</v>
      </c>
      <c r="L180" s="55"/>
    </row>
    <row r="181">
      <c r="A181" s="60"/>
      <c r="B181" s="60"/>
      <c r="C181" s="60"/>
      <c r="D181" s="61"/>
      <c r="E181" s="62"/>
      <c r="F181" s="60"/>
      <c r="G181" s="60"/>
      <c r="H181" s="60"/>
      <c r="I181" s="60"/>
      <c r="J181" s="60"/>
      <c r="K181" s="60" t="b">
        <v>0</v>
      </c>
      <c r="L181" s="60"/>
    </row>
    <row r="182">
      <c r="A182" s="55"/>
      <c r="B182" s="55"/>
      <c r="C182" s="55"/>
      <c r="D182" s="57"/>
      <c r="E182" s="58"/>
      <c r="F182" s="55"/>
      <c r="G182" s="55"/>
      <c r="H182" s="55"/>
      <c r="I182" s="55"/>
      <c r="J182" s="55"/>
      <c r="K182" s="55" t="b">
        <v>0</v>
      </c>
      <c r="L182" s="55"/>
    </row>
    <row r="183">
      <c r="A183" s="60"/>
      <c r="B183" s="60"/>
      <c r="C183" s="60"/>
      <c r="D183" s="61"/>
      <c r="E183" s="62"/>
      <c r="F183" s="60"/>
      <c r="G183" s="60"/>
      <c r="H183" s="60"/>
      <c r="I183" s="60"/>
      <c r="J183" s="60"/>
      <c r="K183" s="60" t="b">
        <v>0</v>
      </c>
      <c r="L183" s="60"/>
    </row>
    <row r="184">
      <c r="A184" s="55"/>
      <c r="B184" s="55"/>
      <c r="C184" s="55"/>
      <c r="D184" s="57"/>
      <c r="E184" s="58"/>
      <c r="F184" s="55"/>
      <c r="G184" s="55"/>
      <c r="H184" s="55"/>
      <c r="I184" s="55"/>
      <c r="J184" s="55"/>
      <c r="K184" s="55" t="b">
        <v>0</v>
      </c>
      <c r="L184" s="55"/>
    </row>
    <row r="185">
      <c r="A185" s="60"/>
      <c r="B185" s="60"/>
      <c r="C185" s="60"/>
      <c r="D185" s="61"/>
      <c r="E185" s="62"/>
      <c r="F185" s="60"/>
      <c r="G185" s="60"/>
      <c r="H185" s="60"/>
      <c r="I185" s="60"/>
      <c r="J185" s="60"/>
      <c r="K185" s="60" t="b">
        <v>0</v>
      </c>
      <c r="L185" s="60"/>
    </row>
    <row r="186">
      <c r="A186" s="55"/>
      <c r="B186" s="55"/>
      <c r="C186" s="55"/>
      <c r="D186" s="57"/>
      <c r="E186" s="58"/>
      <c r="F186" s="55"/>
      <c r="G186" s="55"/>
      <c r="H186" s="55"/>
      <c r="I186" s="55"/>
      <c r="J186" s="55"/>
      <c r="K186" s="55" t="b">
        <v>0</v>
      </c>
      <c r="L186" s="55"/>
    </row>
    <row r="187">
      <c r="A187" s="60"/>
      <c r="B187" s="60"/>
      <c r="C187" s="60"/>
      <c r="D187" s="61"/>
      <c r="E187" s="62"/>
      <c r="F187" s="60"/>
      <c r="G187" s="60"/>
      <c r="H187" s="60"/>
      <c r="I187" s="60"/>
      <c r="J187" s="60"/>
      <c r="K187" s="60" t="b">
        <v>0</v>
      </c>
      <c r="L187" s="60"/>
    </row>
    <row r="188">
      <c r="A188" s="55"/>
      <c r="B188" s="55"/>
      <c r="C188" s="55"/>
      <c r="D188" s="57"/>
      <c r="E188" s="58"/>
      <c r="F188" s="55"/>
      <c r="G188" s="55"/>
      <c r="H188" s="55"/>
      <c r="I188" s="55"/>
      <c r="J188" s="55"/>
      <c r="K188" s="55" t="b">
        <v>0</v>
      </c>
      <c r="L188" s="55"/>
    </row>
    <row r="189">
      <c r="A189" s="60"/>
      <c r="B189" s="60"/>
      <c r="C189" s="60"/>
      <c r="D189" s="61"/>
      <c r="E189" s="62"/>
      <c r="F189" s="60"/>
      <c r="G189" s="60"/>
      <c r="H189" s="60"/>
      <c r="I189" s="60"/>
      <c r="J189" s="60"/>
      <c r="K189" s="60" t="b">
        <v>0</v>
      </c>
      <c r="L189" s="60"/>
    </row>
    <row r="190">
      <c r="A190" s="55"/>
      <c r="B190" s="55"/>
      <c r="C190" s="55"/>
      <c r="D190" s="57"/>
      <c r="E190" s="58"/>
      <c r="F190" s="55"/>
      <c r="G190" s="55"/>
      <c r="H190" s="55"/>
      <c r="I190" s="55"/>
      <c r="J190" s="55"/>
      <c r="K190" s="55" t="b">
        <v>0</v>
      </c>
      <c r="L190" s="55"/>
    </row>
    <row r="191">
      <c r="A191" s="60"/>
      <c r="B191" s="60"/>
      <c r="C191" s="60"/>
      <c r="D191" s="61"/>
      <c r="E191" s="62"/>
      <c r="F191" s="60"/>
      <c r="G191" s="60"/>
      <c r="H191" s="60"/>
      <c r="I191" s="60"/>
      <c r="J191" s="60"/>
      <c r="K191" s="60" t="b">
        <v>0</v>
      </c>
      <c r="L191" s="60"/>
    </row>
    <row r="192">
      <c r="A192" s="55"/>
      <c r="B192" s="55"/>
      <c r="C192" s="55"/>
      <c r="D192" s="57"/>
      <c r="E192" s="58"/>
      <c r="F192" s="55"/>
      <c r="G192" s="55"/>
      <c r="H192" s="55"/>
      <c r="I192" s="55"/>
      <c r="J192" s="55"/>
      <c r="K192" s="55" t="b">
        <v>0</v>
      </c>
      <c r="L192" s="55"/>
    </row>
    <row r="193">
      <c r="A193" s="60"/>
      <c r="B193" s="60"/>
      <c r="C193" s="60"/>
      <c r="D193" s="61"/>
      <c r="E193" s="62"/>
      <c r="F193" s="60"/>
      <c r="G193" s="60"/>
      <c r="H193" s="60"/>
      <c r="I193" s="60"/>
      <c r="J193" s="60"/>
      <c r="K193" s="60" t="b">
        <v>0</v>
      </c>
      <c r="L193" s="60"/>
    </row>
    <row r="194">
      <c r="A194" s="55"/>
      <c r="B194" s="55"/>
      <c r="C194" s="55"/>
      <c r="D194" s="57"/>
      <c r="E194" s="58"/>
      <c r="F194" s="55"/>
      <c r="G194" s="55"/>
      <c r="H194" s="55"/>
      <c r="I194" s="55"/>
      <c r="J194" s="55"/>
      <c r="K194" s="55" t="b">
        <v>0</v>
      </c>
      <c r="L194" s="55"/>
    </row>
    <row r="195">
      <c r="A195" s="60"/>
      <c r="B195" s="60"/>
      <c r="C195" s="60"/>
      <c r="D195" s="61"/>
      <c r="E195" s="62"/>
      <c r="F195" s="60"/>
      <c r="G195" s="60"/>
      <c r="H195" s="60"/>
      <c r="I195" s="60"/>
      <c r="J195" s="60"/>
      <c r="K195" s="60" t="b">
        <v>0</v>
      </c>
      <c r="L195" s="60"/>
    </row>
    <row r="196">
      <c r="A196" s="55"/>
      <c r="B196" s="55"/>
      <c r="C196" s="55"/>
      <c r="D196" s="57"/>
      <c r="E196" s="58"/>
      <c r="F196" s="55"/>
      <c r="G196" s="55"/>
      <c r="H196" s="55"/>
      <c r="I196" s="55"/>
      <c r="J196" s="55"/>
      <c r="K196" s="55" t="b">
        <v>0</v>
      </c>
      <c r="L196" s="55"/>
    </row>
    <row r="197">
      <c r="A197" s="60"/>
      <c r="B197" s="60"/>
      <c r="C197" s="60"/>
      <c r="D197" s="61"/>
      <c r="E197" s="62"/>
      <c r="F197" s="60"/>
      <c r="G197" s="60"/>
      <c r="H197" s="60"/>
      <c r="I197" s="60"/>
      <c r="J197" s="60"/>
      <c r="K197" s="60" t="b">
        <v>0</v>
      </c>
      <c r="L197" s="60"/>
    </row>
    <row r="198">
      <c r="A198" s="55"/>
      <c r="B198" s="55"/>
      <c r="C198" s="55"/>
      <c r="D198" s="57"/>
      <c r="E198" s="58"/>
      <c r="F198" s="55"/>
      <c r="G198" s="55"/>
      <c r="H198" s="55"/>
      <c r="I198" s="55"/>
      <c r="J198" s="55"/>
      <c r="K198" s="55" t="b">
        <v>0</v>
      </c>
      <c r="L198" s="55"/>
    </row>
    <row r="199">
      <c r="A199" s="60"/>
      <c r="B199" s="60"/>
      <c r="C199" s="60"/>
      <c r="D199" s="61"/>
      <c r="E199" s="62"/>
      <c r="F199" s="60"/>
      <c r="G199" s="60"/>
      <c r="H199" s="60"/>
      <c r="I199" s="60"/>
      <c r="J199" s="60"/>
      <c r="K199" s="60" t="b">
        <v>0</v>
      </c>
      <c r="L199" s="60"/>
    </row>
    <row r="200">
      <c r="A200" s="55"/>
      <c r="B200" s="55"/>
      <c r="C200" s="55"/>
      <c r="D200" s="57"/>
      <c r="E200" s="58"/>
      <c r="F200" s="55"/>
      <c r="G200" s="55"/>
      <c r="H200" s="55"/>
      <c r="I200" s="55"/>
      <c r="J200" s="55"/>
      <c r="K200" s="55" t="b">
        <v>0</v>
      </c>
      <c r="L200" s="55"/>
    </row>
    <row r="201">
      <c r="A201" s="60"/>
      <c r="B201" s="60"/>
      <c r="C201" s="60"/>
      <c r="D201" s="61"/>
      <c r="E201" s="62"/>
      <c r="F201" s="60"/>
      <c r="G201" s="60"/>
      <c r="H201" s="60"/>
      <c r="I201" s="60"/>
      <c r="J201" s="60"/>
      <c r="K201" s="60" t="b">
        <v>0</v>
      </c>
      <c r="L201" s="60"/>
    </row>
    <row r="202">
      <c r="A202" s="55"/>
      <c r="B202" s="55"/>
      <c r="C202" s="55"/>
      <c r="D202" s="57"/>
      <c r="E202" s="58"/>
      <c r="F202" s="55"/>
      <c r="G202" s="55"/>
      <c r="H202" s="55"/>
      <c r="I202" s="55"/>
      <c r="J202" s="55"/>
      <c r="K202" s="55" t="b">
        <v>0</v>
      </c>
      <c r="L202" s="55"/>
    </row>
    <row r="203">
      <c r="A203" s="60"/>
      <c r="B203" s="60"/>
      <c r="C203" s="60"/>
      <c r="D203" s="61"/>
      <c r="E203" s="62"/>
      <c r="F203" s="60"/>
      <c r="G203" s="60"/>
      <c r="H203" s="60"/>
      <c r="I203" s="60"/>
      <c r="J203" s="60"/>
      <c r="K203" s="60" t="b">
        <v>0</v>
      </c>
      <c r="L203" s="60"/>
    </row>
    <row r="204">
      <c r="A204" s="55"/>
      <c r="B204" s="55"/>
      <c r="C204" s="55"/>
      <c r="D204" s="57"/>
      <c r="E204" s="58"/>
      <c r="F204" s="55"/>
      <c r="G204" s="55"/>
      <c r="H204" s="55"/>
      <c r="I204" s="55"/>
      <c r="J204" s="55"/>
      <c r="K204" s="55" t="b">
        <v>0</v>
      </c>
      <c r="L204" s="55"/>
    </row>
    <row r="205">
      <c r="A205" s="60"/>
      <c r="B205" s="60"/>
      <c r="C205" s="60"/>
      <c r="D205" s="61"/>
      <c r="E205" s="62"/>
      <c r="F205" s="60"/>
      <c r="G205" s="60"/>
      <c r="H205" s="60"/>
      <c r="I205" s="60"/>
      <c r="J205" s="60"/>
      <c r="K205" s="60" t="b">
        <v>0</v>
      </c>
      <c r="L205" s="60"/>
    </row>
    <row r="206">
      <c r="A206" s="55"/>
      <c r="B206" s="55"/>
      <c r="C206" s="55"/>
      <c r="D206" s="57"/>
      <c r="E206" s="58"/>
      <c r="F206" s="55"/>
      <c r="G206" s="55"/>
      <c r="H206" s="55"/>
      <c r="I206" s="55"/>
      <c r="J206" s="55"/>
      <c r="K206" s="55" t="b">
        <v>0</v>
      </c>
      <c r="L206" s="55"/>
    </row>
    <row r="207">
      <c r="A207" s="60"/>
      <c r="B207" s="60"/>
      <c r="C207" s="60"/>
      <c r="D207" s="61"/>
      <c r="E207" s="62"/>
      <c r="F207" s="60"/>
      <c r="G207" s="60"/>
      <c r="H207" s="60"/>
      <c r="I207" s="60"/>
      <c r="J207" s="60"/>
      <c r="K207" s="60" t="b">
        <v>0</v>
      </c>
      <c r="L207" s="60"/>
    </row>
    <row r="208">
      <c r="A208" s="55"/>
      <c r="B208" s="55"/>
      <c r="C208" s="55"/>
      <c r="D208" s="57"/>
      <c r="E208" s="58"/>
      <c r="F208" s="55"/>
      <c r="G208" s="55"/>
      <c r="H208" s="55"/>
      <c r="I208" s="55"/>
      <c r="J208" s="55"/>
      <c r="K208" s="55" t="b">
        <v>0</v>
      </c>
      <c r="L208" s="55"/>
    </row>
    <row r="209">
      <c r="A209" s="60"/>
      <c r="B209" s="60"/>
      <c r="C209" s="60"/>
      <c r="D209" s="61"/>
      <c r="E209" s="62"/>
      <c r="F209" s="60"/>
      <c r="G209" s="60"/>
      <c r="H209" s="60"/>
      <c r="I209" s="60"/>
      <c r="J209" s="60"/>
      <c r="K209" s="60" t="b">
        <v>0</v>
      </c>
      <c r="L209" s="60"/>
    </row>
    <row r="210">
      <c r="A210" s="55"/>
      <c r="B210" s="55"/>
      <c r="C210" s="55"/>
      <c r="D210" s="57"/>
      <c r="E210" s="58"/>
      <c r="F210" s="55"/>
      <c r="G210" s="55"/>
      <c r="H210" s="55"/>
      <c r="I210" s="55"/>
      <c r="J210" s="55"/>
      <c r="K210" s="55" t="b">
        <v>0</v>
      </c>
      <c r="L210" s="55"/>
    </row>
    <row r="211">
      <c r="A211" s="60"/>
      <c r="B211" s="60"/>
      <c r="C211" s="60"/>
      <c r="D211" s="61"/>
      <c r="E211" s="62"/>
      <c r="F211" s="60"/>
      <c r="G211" s="60"/>
      <c r="H211" s="60"/>
      <c r="I211" s="60"/>
      <c r="J211" s="60"/>
      <c r="K211" s="60" t="b">
        <v>0</v>
      </c>
      <c r="L211" s="60"/>
    </row>
    <row r="212">
      <c r="A212" s="55"/>
      <c r="B212" s="55"/>
      <c r="C212" s="55"/>
      <c r="D212" s="57"/>
      <c r="E212" s="58"/>
      <c r="F212" s="55"/>
      <c r="G212" s="55"/>
      <c r="H212" s="55"/>
      <c r="I212" s="55"/>
      <c r="J212" s="55"/>
      <c r="K212" s="55" t="b">
        <v>0</v>
      </c>
      <c r="L212" s="55"/>
    </row>
    <row r="213">
      <c r="A213" s="60"/>
      <c r="B213" s="60"/>
      <c r="C213" s="60"/>
      <c r="D213" s="61"/>
      <c r="E213" s="62"/>
      <c r="F213" s="60"/>
      <c r="G213" s="60"/>
      <c r="H213" s="60"/>
      <c r="I213" s="60"/>
      <c r="J213" s="60"/>
      <c r="K213" s="60" t="b">
        <v>0</v>
      </c>
      <c r="L213" s="60"/>
    </row>
    <row r="214">
      <c r="A214" s="55"/>
      <c r="B214" s="55"/>
      <c r="C214" s="55"/>
      <c r="D214" s="57"/>
      <c r="E214" s="58"/>
      <c r="F214" s="55"/>
      <c r="G214" s="55"/>
      <c r="H214" s="55"/>
      <c r="I214" s="55"/>
      <c r="J214" s="55"/>
      <c r="K214" s="55" t="b">
        <v>0</v>
      </c>
      <c r="L214" s="55"/>
    </row>
    <row r="215">
      <c r="A215" s="60"/>
      <c r="B215" s="60"/>
      <c r="C215" s="60"/>
      <c r="D215" s="61"/>
      <c r="E215" s="62"/>
      <c r="F215" s="60"/>
      <c r="G215" s="60"/>
      <c r="H215" s="60"/>
      <c r="I215" s="60"/>
      <c r="J215" s="60"/>
      <c r="K215" s="60" t="b">
        <v>0</v>
      </c>
      <c r="L215" s="60"/>
    </row>
    <row r="216">
      <c r="A216" s="55"/>
      <c r="B216" s="55"/>
      <c r="C216" s="55"/>
      <c r="D216" s="57"/>
      <c r="E216" s="58"/>
      <c r="F216" s="55"/>
      <c r="G216" s="55"/>
      <c r="H216" s="55"/>
      <c r="I216" s="55"/>
      <c r="J216" s="55"/>
      <c r="K216" s="55" t="b">
        <v>0</v>
      </c>
      <c r="L216" s="55"/>
    </row>
    <row r="217">
      <c r="A217" s="60"/>
      <c r="B217" s="60"/>
      <c r="C217" s="60"/>
      <c r="D217" s="61"/>
      <c r="E217" s="62"/>
      <c r="F217" s="60"/>
      <c r="G217" s="60"/>
      <c r="H217" s="60"/>
      <c r="I217" s="60"/>
      <c r="J217" s="60"/>
      <c r="K217" s="60" t="b">
        <v>0</v>
      </c>
      <c r="L217" s="60"/>
    </row>
    <row r="218">
      <c r="A218" s="55"/>
      <c r="B218" s="55"/>
      <c r="C218" s="55"/>
      <c r="D218" s="57"/>
      <c r="E218" s="58"/>
      <c r="F218" s="55"/>
      <c r="G218" s="55"/>
      <c r="H218" s="55"/>
      <c r="I218" s="55"/>
      <c r="J218" s="55"/>
      <c r="K218" s="55" t="b">
        <v>0</v>
      </c>
      <c r="L218" s="55"/>
    </row>
    <row r="219">
      <c r="A219" s="60"/>
      <c r="B219" s="60"/>
      <c r="C219" s="60"/>
      <c r="D219" s="61"/>
      <c r="E219" s="62"/>
      <c r="F219" s="60"/>
      <c r="G219" s="60"/>
      <c r="H219" s="60"/>
      <c r="I219" s="60"/>
      <c r="J219" s="60"/>
      <c r="K219" s="60" t="b">
        <v>0</v>
      </c>
      <c r="L219" s="60"/>
    </row>
    <row r="220">
      <c r="A220" s="55"/>
      <c r="B220" s="55"/>
      <c r="C220" s="55"/>
      <c r="D220" s="57"/>
      <c r="E220" s="58"/>
      <c r="F220" s="55"/>
      <c r="G220" s="55"/>
      <c r="H220" s="55"/>
      <c r="I220" s="55"/>
      <c r="J220" s="55"/>
      <c r="K220" s="55" t="b">
        <v>0</v>
      </c>
      <c r="L220" s="55"/>
    </row>
    <row r="221">
      <c r="A221" s="60"/>
      <c r="B221" s="60"/>
      <c r="C221" s="60"/>
      <c r="D221" s="61"/>
      <c r="E221" s="62"/>
      <c r="F221" s="60"/>
      <c r="G221" s="60"/>
      <c r="H221" s="60"/>
      <c r="I221" s="60"/>
      <c r="J221" s="60"/>
      <c r="K221" s="60" t="b">
        <v>0</v>
      </c>
      <c r="L221" s="60"/>
    </row>
    <row r="222">
      <c r="A222" s="55"/>
      <c r="B222" s="55"/>
      <c r="C222" s="55"/>
      <c r="D222" s="57"/>
      <c r="E222" s="58"/>
      <c r="F222" s="55"/>
      <c r="G222" s="55"/>
      <c r="H222" s="55"/>
      <c r="I222" s="55"/>
      <c r="J222" s="55"/>
      <c r="K222" s="55" t="b">
        <v>0</v>
      </c>
      <c r="L222" s="55"/>
    </row>
    <row r="223">
      <c r="A223" s="60"/>
      <c r="B223" s="60"/>
      <c r="C223" s="60"/>
      <c r="D223" s="61"/>
      <c r="E223" s="62"/>
      <c r="F223" s="60"/>
      <c r="G223" s="60"/>
      <c r="H223" s="60"/>
      <c r="I223" s="60"/>
      <c r="J223" s="60"/>
      <c r="K223" s="60" t="b">
        <v>0</v>
      </c>
      <c r="L223" s="60"/>
    </row>
    <row r="224">
      <c r="A224" s="55"/>
      <c r="B224" s="55"/>
      <c r="C224" s="55"/>
      <c r="D224" s="57"/>
      <c r="E224" s="58"/>
      <c r="F224" s="55"/>
      <c r="G224" s="55"/>
      <c r="H224" s="55"/>
      <c r="I224" s="55"/>
      <c r="J224" s="55"/>
      <c r="K224" s="55" t="b">
        <v>0</v>
      </c>
      <c r="L224" s="55"/>
    </row>
    <row r="225">
      <c r="A225" s="60"/>
      <c r="B225" s="60"/>
      <c r="C225" s="60"/>
      <c r="D225" s="61"/>
      <c r="E225" s="62"/>
      <c r="F225" s="60"/>
      <c r="G225" s="60"/>
      <c r="H225" s="60"/>
      <c r="I225" s="60"/>
      <c r="J225" s="60"/>
      <c r="K225" s="60" t="b">
        <v>0</v>
      </c>
      <c r="L225" s="60"/>
    </row>
    <row r="226">
      <c r="A226" s="55"/>
      <c r="B226" s="55"/>
      <c r="C226" s="55"/>
      <c r="D226" s="57"/>
      <c r="E226" s="58"/>
      <c r="F226" s="55"/>
      <c r="G226" s="55"/>
      <c r="H226" s="55"/>
      <c r="I226" s="55"/>
      <c r="J226" s="55"/>
      <c r="K226" s="55" t="b">
        <v>0</v>
      </c>
      <c r="L226" s="55"/>
    </row>
    <row r="227">
      <c r="A227" s="60"/>
      <c r="B227" s="60"/>
      <c r="C227" s="60"/>
      <c r="D227" s="61"/>
      <c r="E227" s="62"/>
      <c r="F227" s="60"/>
      <c r="G227" s="60"/>
      <c r="H227" s="60"/>
      <c r="I227" s="60"/>
      <c r="J227" s="60"/>
      <c r="K227" s="60" t="b">
        <v>0</v>
      </c>
      <c r="L227" s="60"/>
    </row>
    <row r="228">
      <c r="A228" s="55"/>
      <c r="B228" s="55"/>
      <c r="C228" s="55"/>
      <c r="D228" s="57"/>
      <c r="E228" s="58"/>
      <c r="F228" s="55"/>
      <c r="G228" s="55"/>
      <c r="H228" s="55"/>
      <c r="I228" s="55"/>
      <c r="J228" s="55"/>
      <c r="K228" s="55" t="b">
        <v>0</v>
      </c>
      <c r="L228" s="55"/>
    </row>
    <row r="229">
      <c r="A229" s="60"/>
      <c r="B229" s="60"/>
      <c r="C229" s="60"/>
      <c r="D229" s="61"/>
      <c r="E229" s="62"/>
      <c r="F229" s="60"/>
      <c r="G229" s="60"/>
      <c r="H229" s="60"/>
      <c r="I229" s="60"/>
      <c r="J229" s="60"/>
      <c r="K229" s="60" t="b">
        <v>0</v>
      </c>
      <c r="L229" s="60"/>
    </row>
    <row r="230">
      <c r="A230" s="55"/>
      <c r="B230" s="55"/>
      <c r="C230" s="55"/>
      <c r="D230" s="57"/>
      <c r="E230" s="58"/>
      <c r="F230" s="55"/>
      <c r="G230" s="55"/>
      <c r="H230" s="55"/>
      <c r="I230" s="55"/>
      <c r="J230" s="55"/>
      <c r="K230" s="55" t="b">
        <v>0</v>
      </c>
      <c r="L230" s="55"/>
    </row>
    <row r="231">
      <c r="A231" s="60"/>
      <c r="B231" s="60"/>
      <c r="C231" s="60"/>
      <c r="D231" s="61"/>
      <c r="E231" s="62"/>
      <c r="F231" s="60"/>
      <c r="G231" s="60"/>
      <c r="H231" s="60"/>
      <c r="I231" s="60"/>
      <c r="J231" s="60"/>
      <c r="K231" s="60" t="b">
        <v>0</v>
      </c>
      <c r="L231" s="60"/>
    </row>
    <row r="232">
      <c r="A232" s="55"/>
      <c r="B232" s="55"/>
      <c r="C232" s="55"/>
      <c r="D232" s="57"/>
      <c r="E232" s="58"/>
      <c r="F232" s="55"/>
      <c r="G232" s="55"/>
      <c r="H232" s="55"/>
      <c r="I232" s="55"/>
      <c r="J232" s="55"/>
      <c r="K232" s="55" t="b">
        <v>0</v>
      </c>
      <c r="L232" s="55"/>
    </row>
    <row r="233">
      <c r="A233" s="60"/>
      <c r="B233" s="60"/>
      <c r="C233" s="60"/>
      <c r="D233" s="61"/>
      <c r="E233" s="62"/>
      <c r="F233" s="60"/>
      <c r="G233" s="60"/>
      <c r="H233" s="60"/>
      <c r="I233" s="60"/>
      <c r="J233" s="60"/>
      <c r="K233" s="60" t="b">
        <v>0</v>
      </c>
      <c r="L233" s="60"/>
    </row>
    <row r="234">
      <c r="A234" s="55"/>
      <c r="B234" s="55"/>
      <c r="C234" s="55"/>
      <c r="D234" s="57"/>
      <c r="E234" s="58"/>
      <c r="F234" s="55"/>
      <c r="G234" s="55"/>
      <c r="H234" s="55"/>
      <c r="I234" s="55"/>
      <c r="J234" s="55"/>
      <c r="K234" s="55" t="b">
        <v>0</v>
      </c>
      <c r="L234" s="55"/>
    </row>
    <row r="235">
      <c r="A235" s="60"/>
      <c r="B235" s="60"/>
      <c r="C235" s="60"/>
      <c r="D235" s="61"/>
      <c r="E235" s="62"/>
      <c r="F235" s="60"/>
      <c r="G235" s="60"/>
      <c r="H235" s="60"/>
      <c r="I235" s="60"/>
      <c r="J235" s="60"/>
      <c r="K235" s="60" t="b">
        <v>0</v>
      </c>
      <c r="L235" s="60"/>
    </row>
    <row r="236">
      <c r="A236" s="55"/>
      <c r="B236" s="55"/>
      <c r="C236" s="55"/>
      <c r="D236" s="57"/>
      <c r="E236" s="58"/>
      <c r="F236" s="55"/>
      <c r="G236" s="55"/>
      <c r="H236" s="55"/>
      <c r="I236" s="55"/>
      <c r="J236" s="55"/>
      <c r="K236" s="55" t="b">
        <v>0</v>
      </c>
      <c r="L236" s="55"/>
    </row>
    <row r="237">
      <c r="A237" s="60"/>
      <c r="B237" s="60"/>
      <c r="C237" s="60"/>
      <c r="D237" s="61"/>
      <c r="E237" s="62"/>
      <c r="F237" s="60"/>
      <c r="G237" s="60"/>
      <c r="H237" s="60"/>
      <c r="I237" s="60"/>
      <c r="J237" s="60"/>
      <c r="K237" s="60" t="b">
        <v>0</v>
      </c>
      <c r="L237" s="60"/>
    </row>
    <row r="238">
      <c r="A238" s="55"/>
      <c r="B238" s="55"/>
      <c r="C238" s="55"/>
      <c r="D238" s="57"/>
      <c r="E238" s="58"/>
      <c r="F238" s="55"/>
      <c r="G238" s="55"/>
      <c r="H238" s="55"/>
      <c r="I238" s="55"/>
      <c r="J238" s="55"/>
      <c r="K238" s="55" t="b">
        <v>0</v>
      </c>
      <c r="L238" s="55"/>
    </row>
    <row r="239">
      <c r="A239" s="60"/>
      <c r="B239" s="60"/>
      <c r="C239" s="60"/>
      <c r="D239" s="61"/>
      <c r="E239" s="62"/>
      <c r="F239" s="60"/>
      <c r="G239" s="60"/>
      <c r="H239" s="60"/>
      <c r="I239" s="60"/>
      <c r="J239" s="60"/>
      <c r="K239" s="60" t="b">
        <v>0</v>
      </c>
      <c r="L239" s="60"/>
    </row>
    <row r="240">
      <c r="A240" s="55"/>
      <c r="B240" s="55"/>
      <c r="C240" s="55"/>
      <c r="D240" s="57"/>
      <c r="E240" s="58"/>
      <c r="F240" s="55"/>
      <c r="G240" s="55"/>
      <c r="H240" s="55"/>
      <c r="I240" s="55"/>
      <c r="J240" s="55"/>
      <c r="K240" s="55" t="b">
        <v>0</v>
      </c>
      <c r="L240" s="55"/>
    </row>
    <row r="241">
      <c r="A241" s="60"/>
      <c r="B241" s="60"/>
      <c r="C241" s="60"/>
      <c r="D241" s="61"/>
      <c r="E241" s="62"/>
      <c r="F241" s="60"/>
      <c r="G241" s="60"/>
      <c r="H241" s="60"/>
      <c r="I241" s="60"/>
      <c r="J241" s="60"/>
      <c r="K241" s="60" t="b">
        <v>0</v>
      </c>
      <c r="L241" s="60"/>
    </row>
    <row r="242">
      <c r="A242" s="55"/>
      <c r="B242" s="55"/>
      <c r="C242" s="55"/>
      <c r="D242" s="57"/>
      <c r="E242" s="58"/>
      <c r="F242" s="55"/>
      <c r="G242" s="55"/>
      <c r="H242" s="55"/>
      <c r="I242" s="55"/>
      <c r="J242" s="55"/>
      <c r="K242" s="55" t="b">
        <v>0</v>
      </c>
      <c r="L242" s="55"/>
    </row>
    <row r="243">
      <c r="A243" s="60"/>
      <c r="B243" s="60"/>
      <c r="C243" s="60"/>
      <c r="D243" s="61"/>
      <c r="E243" s="62"/>
      <c r="F243" s="60"/>
      <c r="G243" s="60"/>
      <c r="H243" s="60"/>
      <c r="I243" s="60"/>
      <c r="J243" s="60"/>
      <c r="K243" s="60" t="b">
        <v>0</v>
      </c>
      <c r="L243" s="60"/>
    </row>
    <row r="244">
      <c r="A244" s="55"/>
      <c r="B244" s="55"/>
      <c r="C244" s="55"/>
      <c r="D244" s="57"/>
      <c r="E244" s="58"/>
      <c r="F244" s="55"/>
      <c r="G244" s="55"/>
      <c r="H244" s="55"/>
      <c r="I244" s="55"/>
      <c r="J244" s="55"/>
      <c r="K244" s="55" t="b">
        <v>0</v>
      </c>
      <c r="L244" s="55"/>
    </row>
    <row r="245">
      <c r="A245" s="60"/>
      <c r="B245" s="60"/>
      <c r="C245" s="60"/>
      <c r="D245" s="61"/>
      <c r="E245" s="62"/>
      <c r="F245" s="60"/>
      <c r="G245" s="60"/>
      <c r="H245" s="60"/>
      <c r="I245" s="60"/>
      <c r="J245" s="60"/>
      <c r="K245" s="60" t="b">
        <v>0</v>
      </c>
      <c r="L245" s="60"/>
    </row>
    <row r="246">
      <c r="A246" s="55"/>
      <c r="B246" s="55"/>
      <c r="C246" s="55"/>
      <c r="D246" s="57"/>
      <c r="E246" s="58"/>
      <c r="F246" s="55"/>
      <c r="G246" s="55"/>
      <c r="H246" s="55"/>
      <c r="I246" s="55"/>
      <c r="J246" s="55"/>
      <c r="K246" s="55" t="b">
        <v>0</v>
      </c>
      <c r="L246" s="55"/>
    </row>
    <row r="247">
      <c r="A247" s="60"/>
      <c r="B247" s="60"/>
      <c r="C247" s="60"/>
      <c r="D247" s="61"/>
      <c r="E247" s="62"/>
      <c r="F247" s="60"/>
      <c r="G247" s="60"/>
      <c r="H247" s="60"/>
      <c r="I247" s="60"/>
      <c r="J247" s="60"/>
      <c r="K247" s="60" t="b">
        <v>0</v>
      </c>
      <c r="L247" s="60"/>
    </row>
    <row r="248">
      <c r="A248" s="55"/>
      <c r="B248" s="55"/>
      <c r="C248" s="55"/>
      <c r="D248" s="57"/>
      <c r="E248" s="58"/>
      <c r="F248" s="55"/>
      <c r="G248" s="55"/>
      <c r="H248" s="55"/>
      <c r="I248" s="55"/>
      <c r="J248" s="55"/>
      <c r="K248" s="55" t="b">
        <v>0</v>
      </c>
      <c r="L248" s="55"/>
    </row>
    <row r="249">
      <c r="A249" s="60"/>
      <c r="B249" s="60"/>
      <c r="C249" s="60"/>
      <c r="D249" s="61"/>
      <c r="E249" s="62"/>
      <c r="F249" s="60"/>
      <c r="G249" s="60"/>
      <c r="H249" s="60"/>
      <c r="I249" s="60"/>
      <c r="J249" s="60"/>
      <c r="K249" s="60" t="b">
        <v>0</v>
      </c>
      <c r="L249" s="60"/>
    </row>
    <row r="250">
      <c r="A250" s="55"/>
      <c r="B250" s="55"/>
      <c r="C250" s="55"/>
      <c r="D250" s="57"/>
      <c r="E250" s="58"/>
      <c r="F250" s="55"/>
      <c r="G250" s="55"/>
      <c r="H250" s="55"/>
      <c r="I250" s="55"/>
      <c r="J250" s="55"/>
      <c r="K250" s="55" t="b">
        <v>0</v>
      </c>
      <c r="L250" s="55"/>
    </row>
  </sheetData>
  <autoFilter ref="$A$11:$L$250"/>
  <mergeCells count="31">
    <mergeCell ref="A7:B7"/>
    <mergeCell ref="C7:D7"/>
    <mergeCell ref="E7:F7"/>
    <mergeCell ref="G7:H7"/>
    <mergeCell ref="I7:J7"/>
    <mergeCell ref="K7:L7"/>
    <mergeCell ref="A1:L2"/>
    <mergeCell ref="A3:L3"/>
    <mergeCell ref="A4:L4"/>
    <mergeCell ref="A6:B6"/>
    <mergeCell ref="C6:D6"/>
    <mergeCell ref="E6:F6"/>
    <mergeCell ref="G6:H6"/>
    <mergeCell ref="I6:J6"/>
    <mergeCell ref="K6:L6"/>
    <mergeCell ref="N26:Y26"/>
    <mergeCell ref="N27:Y28"/>
    <mergeCell ref="N30:Q34"/>
    <mergeCell ref="R30:U34"/>
    <mergeCell ref="V30:Y34"/>
    <mergeCell ref="R45:U49"/>
    <mergeCell ref="V45:Y49"/>
    <mergeCell ref="N51:Y51"/>
    <mergeCell ref="N52:Y57"/>
    <mergeCell ref="N35:Q39"/>
    <mergeCell ref="R35:U39"/>
    <mergeCell ref="V35:Y39"/>
    <mergeCell ref="N40:Q44"/>
    <mergeCell ref="R40:U44"/>
    <mergeCell ref="V40:Y44"/>
    <mergeCell ref="N45:Q49"/>
  </mergeCells>
  <dataValidations>
    <dataValidation type="list" allowBlank="1" sqref="G12:G250">
      <formula1>"Vinyl,Paper,Puffy,Holographic,Transparent,Digital,Other"</formula1>
    </dataValidation>
    <dataValidation type="list" allowBlank="1" sqref="F12:F250">
      <formula1>"Pastel,Neutral,Bright,Dark,Mixed,Metallic,Other"</formula1>
    </dataValidation>
    <dataValidation type="list" allowBlank="1" sqref="B12:B250">
      <formula1>"Cute,Floral,Bookish,Travel,Food,Seasonal,Motivational,Character,Hobby,Other"</formula1>
    </dataValidation>
    <dataValidation type="list" allowBlank="1" sqref="H12:H250">
      <formula1>"Unused,Used,Gifted,Traded"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1" width="22.63"/>
    <col customWidth="1" min="2" max="5" width="13.25"/>
    <col customWidth="1" min="6" max="8" width="10.75"/>
    <col customWidth="1" min="9" max="10" width="12.0"/>
    <col customWidth="1" min="11" max="14" width="18.88"/>
  </cols>
  <sheetData>
    <row r="1">
      <c r="A1" s="69" t="s">
        <v>157</v>
      </c>
    </row>
    <row r="3">
      <c r="A3" s="9" t="s">
        <v>158</v>
      </c>
    </row>
    <row r="4">
      <c r="A4" s="9" t="s">
        <v>159</v>
      </c>
    </row>
    <row r="6">
      <c r="A6" s="14" t="s">
        <v>25</v>
      </c>
      <c r="C6" s="14" t="s">
        <v>160</v>
      </c>
      <c r="E6" s="14" t="s">
        <v>161</v>
      </c>
      <c r="G6" s="14" t="s">
        <v>15</v>
      </c>
      <c r="I6" s="14" t="s">
        <v>17</v>
      </c>
      <c r="K6" s="14" t="s">
        <v>162</v>
      </c>
      <c r="M6" s="14" t="s">
        <v>83</v>
      </c>
    </row>
    <row r="7">
      <c r="A7" s="22">
        <f>COUNTIF($D$14:$D$250,"Finished")</f>
        <v>0</v>
      </c>
      <c r="B7" s="23"/>
      <c r="C7" s="22">
        <f>COUNTIF($D$14:$D$250,"Watching")</f>
        <v>0</v>
      </c>
      <c r="D7" s="23"/>
      <c r="E7" s="22">
        <f>COUNTIF($D$14:$D$250,"Watchlist")</f>
        <v>0</v>
      </c>
      <c r="F7" s="23"/>
      <c r="G7" s="22">
        <f>COUNTIF($L$14:$L$250,TRUE)</f>
        <v>0</v>
      </c>
      <c r="H7" s="23"/>
      <c r="I7" s="22" t="str">
        <f>IFERROR(AVERAGEIF($D$14:$D$250,"Finished",$H$14:$H$250),"")</f>
        <v/>
      </c>
      <c r="J7" s="23"/>
      <c r="K7" s="22">
        <f>COUNTIF($B$14:$B$250,"Movie")</f>
        <v>0</v>
      </c>
      <c r="L7" s="23"/>
      <c r="M7" s="22">
        <f>COUNTIF($B$14:$B$250,"Series")</f>
        <v>0</v>
      </c>
      <c r="N7" s="23"/>
    </row>
    <row r="9">
      <c r="A9" s="79" t="s">
        <v>163</v>
      </c>
      <c r="H9" s="79" t="s">
        <v>164</v>
      </c>
    </row>
    <row r="10">
      <c r="A10" s="140" t="str">
        <f t="array" ref="A10">IFERROR(INDEX($A$14:$A$250,MATCH("Watching",$D$14:$D$250,0))&amp;CHAR(10)&amp;INDEX($E$14:$E$250,MATCH("Watching",$D$14:$D$250,0)),"Add something you’re watching ♡")</f>
        <v>Add something you’re watching ♡</v>
      </c>
      <c r="H10" s="140" t="str">
        <f t="array" ref="H10">IFERROR(INDEX($A$14:$A$250,MATCH("Watchlist",$D$14:$D$250,0)),"Add something to your watchlist ✦")</f>
        <v>Add something to your watchlist ✦</v>
      </c>
    </row>
    <row r="11">
      <c r="A11" s="23"/>
      <c r="B11" s="23"/>
      <c r="C11" s="23"/>
      <c r="D11" s="23"/>
      <c r="E11" s="23"/>
      <c r="F11" s="23"/>
      <c r="G11" s="23"/>
      <c r="H11" s="23"/>
      <c r="I11" s="23"/>
      <c r="J11" s="23"/>
      <c r="K11" s="23"/>
      <c r="L11" s="23"/>
      <c r="M11" s="23"/>
      <c r="N11" s="23"/>
    </row>
    <row r="13">
      <c r="A13" s="52" t="s">
        <v>165</v>
      </c>
      <c r="B13" s="52" t="s">
        <v>59</v>
      </c>
      <c r="C13" s="52" t="s">
        <v>85</v>
      </c>
      <c r="D13" s="52" t="s">
        <v>60</v>
      </c>
      <c r="E13" s="52" t="s">
        <v>167</v>
      </c>
      <c r="F13" s="52" t="s">
        <v>168</v>
      </c>
      <c r="G13" s="52" t="s">
        <v>169</v>
      </c>
      <c r="H13" s="52" t="s">
        <v>27</v>
      </c>
      <c r="I13" s="52" t="s">
        <v>88</v>
      </c>
      <c r="J13" s="52" t="s">
        <v>89</v>
      </c>
      <c r="K13" s="52" t="s">
        <v>170</v>
      </c>
      <c r="L13" s="52" t="s">
        <v>67</v>
      </c>
      <c r="M13" s="52" t="s">
        <v>172</v>
      </c>
      <c r="N13" s="52" t="s">
        <v>173</v>
      </c>
    </row>
    <row r="14">
      <c r="A14" s="55"/>
      <c r="B14" s="55"/>
      <c r="C14" s="55"/>
      <c r="D14" s="55"/>
      <c r="E14" s="55"/>
      <c r="F14" s="55"/>
      <c r="G14" s="55"/>
      <c r="H14" s="55"/>
      <c r="I14" s="57"/>
      <c r="J14" s="57"/>
      <c r="K14" s="55"/>
      <c r="L14" s="55" t="b">
        <v>0</v>
      </c>
      <c r="M14" s="55" t="b">
        <v>0</v>
      </c>
      <c r="N14" s="55"/>
    </row>
    <row r="15">
      <c r="A15" s="60"/>
      <c r="B15" s="60"/>
      <c r="C15" s="60"/>
      <c r="D15" s="60"/>
      <c r="E15" s="60"/>
      <c r="F15" s="60"/>
      <c r="G15" s="60"/>
      <c r="H15" s="60"/>
      <c r="I15" s="61"/>
      <c r="J15" s="61"/>
      <c r="K15" s="60"/>
      <c r="L15" s="60" t="b">
        <v>0</v>
      </c>
      <c r="M15" s="60" t="b">
        <v>0</v>
      </c>
      <c r="N15" s="60"/>
    </row>
    <row r="16">
      <c r="A16" s="55"/>
      <c r="B16" s="55"/>
      <c r="C16" s="55"/>
      <c r="D16" s="55"/>
      <c r="E16" s="55"/>
      <c r="F16" s="55"/>
      <c r="G16" s="55"/>
      <c r="H16" s="55"/>
      <c r="I16" s="57"/>
      <c r="J16" s="57"/>
      <c r="K16" s="55"/>
      <c r="L16" s="55" t="b">
        <v>0</v>
      </c>
      <c r="M16" s="55" t="b">
        <v>0</v>
      </c>
      <c r="N16" s="55"/>
    </row>
    <row r="17">
      <c r="A17" s="60"/>
      <c r="B17" s="60"/>
      <c r="C17" s="60"/>
      <c r="D17" s="60"/>
      <c r="E17" s="60"/>
      <c r="F17" s="60"/>
      <c r="G17" s="60"/>
      <c r="H17" s="60"/>
      <c r="I17" s="61"/>
      <c r="J17" s="61"/>
      <c r="K17" s="60"/>
      <c r="L17" s="60" t="b">
        <v>0</v>
      </c>
      <c r="M17" s="60" t="b">
        <v>0</v>
      </c>
      <c r="N17" s="60"/>
    </row>
    <row r="18">
      <c r="A18" s="55"/>
      <c r="B18" s="55"/>
      <c r="C18" s="55"/>
      <c r="D18" s="55"/>
      <c r="E18" s="55"/>
      <c r="F18" s="55"/>
      <c r="G18" s="55"/>
      <c r="H18" s="55"/>
      <c r="I18" s="57"/>
      <c r="J18" s="57"/>
      <c r="K18" s="55"/>
      <c r="L18" s="55" t="b">
        <v>0</v>
      </c>
      <c r="M18" s="55" t="b">
        <v>0</v>
      </c>
      <c r="N18" s="55"/>
    </row>
    <row r="19">
      <c r="A19" s="60"/>
      <c r="B19" s="60"/>
      <c r="C19" s="60"/>
      <c r="D19" s="60"/>
      <c r="E19" s="60"/>
      <c r="F19" s="60"/>
      <c r="G19" s="60"/>
      <c r="H19" s="60"/>
      <c r="I19" s="61"/>
      <c r="J19" s="61"/>
      <c r="K19" s="60"/>
      <c r="L19" s="60" t="b">
        <v>0</v>
      </c>
      <c r="M19" s="60" t="b">
        <v>0</v>
      </c>
      <c r="N19" s="60"/>
    </row>
    <row r="20">
      <c r="A20" s="55"/>
      <c r="B20" s="55"/>
      <c r="C20" s="55"/>
      <c r="D20" s="55"/>
      <c r="E20" s="55"/>
      <c r="F20" s="55"/>
      <c r="G20" s="55"/>
      <c r="H20" s="55"/>
      <c r="I20" s="57"/>
      <c r="J20" s="57"/>
      <c r="K20" s="55"/>
      <c r="L20" s="55" t="b">
        <v>0</v>
      </c>
      <c r="M20" s="55" t="b">
        <v>0</v>
      </c>
      <c r="N20" s="55"/>
    </row>
    <row r="21">
      <c r="A21" s="60"/>
      <c r="B21" s="60"/>
      <c r="C21" s="60"/>
      <c r="D21" s="60"/>
      <c r="E21" s="60"/>
      <c r="F21" s="60"/>
      <c r="G21" s="60"/>
      <c r="H21" s="60"/>
      <c r="I21" s="61"/>
      <c r="J21" s="61"/>
      <c r="K21" s="60"/>
      <c r="L21" s="60" t="b">
        <v>0</v>
      </c>
      <c r="M21" s="60" t="b">
        <v>0</v>
      </c>
      <c r="N21" s="60"/>
    </row>
    <row r="22">
      <c r="A22" s="55"/>
      <c r="B22" s="55"/>
      <c r="C22" s="55"/>
      <c r="D22" s="55"/>
      <c r="E22" s="55"/>
      <c r="F22" s="55"/>
      <c r="G22" s="55"/>
      <c r="H22" s="55"/>
      <c r="I22" s="57"/>
      <c r="J22" s="57"/>
      <c r="K22" s="55"/>
      <c r="L22" s="55" t="b">
        <v>0</v>
      </c>
      <c r="M22" s="55" t="b">
        <v>0</v>
      </c>
      <c r="N22" s="55"/>
    </row>
    <row r="23">
      <c r="A23" s="60"/>
      <c r="B23" s="60"/>
      <c r="C23" s="60"/>
      <c r="D23" s="60"/>
      <c r="E23" s="60"/>
      <c r="F23" s="60"/>
      <c r="G23" s="60"/>
      <c r="H23" s="60"/>
      <c r="I23" s="61"/>
      <c r="J23" s="61"/>
      <c r="K23" s="60"/>
      <c r="L23" s="60" t="b">
        <v>0</v>
      </c>
      <c r="M23" s="60" t="b">
        <v>0</v>
      </c>
      <c r="N23" s="60"/>
    </row>
    <row r="24">
      <c r="A24" s="55"/>
      <c r="B24" s="55"/>
      <c r="C24" s="55"/>
      <c r="D24" s="55"/>
      <c r="E24" s="55"/>
      <c r="F24" s="55"/>
      <c r="G24" s="55"/>
      <c r="H24" s="55"/>
      <c r="I24" s="57"/>
      <c r="J24" s="57"/>
      <c r="K24" s="55"/>
      <c r="L24" s="55" t="b">
        <v>0</v>
      </c>
      <c r="M24" s="55" t="b">
        <v>0</v>
      </c>
      <c r="N24" s="55"/>
    </row>
    <row r="25">
      <c r="A25" s="60"/>
      <c r="B25" s="60"/>
      <c r="C25" s="60"/>
      <c r="D25" s="60"/>
      <c r="E25" s="60"/>
      <c r="F25" s="60"/>
      <c r="G25" s="60"/>
      <c r="H25" s="60"/>
      <c r="I25" s="61"/>
      <c r="J25" s="61"/>
      <c r="K25" s="60"/>
      <c r="L25" s="60" t="b">
        <v>0</v>
      </c>
      <c r="M25" s="60" t="b">
        <v>0</v>
      </c>
      <c r="N25" s="60"/>
    </row>
    <row r="26">
      <c r="A26" s="55"/>
      <c r="B26" s="55"/>
      <c r="C26" s="55"/>
      <c r="D26" s="55"/>
      <c r="E26" s="55"/>
      <c r="F26" s="55"/>
      <c r="G26" s="55"/>
      <c r="H26" s="55"/>
      <c r="I26" s="57"/>
      <c r="J26" s="57"/>
      <c r="K26" s="55"/>
      <c r="L26" s="55" t="b">
        <v>0</v>
      </c>
      <c r="M26" s="55" t="b">
        <v>0</v>
      </c>
      <c r="N26" s="55"/>
    </row>
    <row r="27">
      <c r="A27" s="60"/>
      <c r="B27" s="60"/>
      <c r="C27" s="60"/>
      <c r="D27" s="60"/>
      <c r="E27" s="60"/>
      <c r="F27" s="60"/>
      <c r="G27" s="60"/>
      <c r="H27" s="60"/>
      <c r="I27" s="61"/>
      <c r="J27" s="61"/>
      <c r="K27" s="60"/>
      <c r="L27" s="60" t="b">
        <v>0</v>
      </c>
      <c r="M27" s="60" t="b">
        <v>0</v>
      </c>
      <c r="N27" s="60"/>
    </row>
    <row r="28">
      <c r="A28" s="55"/>
      <c r="B28" s="55"/>
      <c r="C28" s="55"/>
      <c r="D28" s="55"/>
      <c r="E28" s="55"/>
      <c r="F28" s="55"/>
      <c r="G28" s="55"/>
      <c r="H28" s="55"/>
      <c r="I28" s="57"/>
      <c r="J28" s="57"/>
      <c r="K28" s="55"/>
      <c r="L28" s="55" t="b">
        <v>0</v>
      </c>
      <c r="M28" s="55" t="b">
        <v>0</v>
      </c>
      <c r="N28" s="55"/>
    </row>
    <row r="29">
      <c r="A29" s="60"/>
      <c r="B29" s="60"/>
      <c r="C29" s="60"/>
      <c r="D29" s="60"/>
      <c r="E29" s="60"/>
      <c r="F29" s="60"/>
      <c r="G29" s="60"/>
      <c r="H29" s="60"/>
      <c r="I29" s="61"/>
      <c r="J29" s="61"/>
      <c r="K29" s="60"/>
      <c r="L29" s="60" t="b">
        <v>0</v>
      </c>
      <c r="M29" s="60" t="b">
        <v>0</v>
      </c>
      <c r="N29" s="60"/>
    </row>
    <row r="30">
      <c r="A30" s="55"/>
      <c r="B30" s="55"/>
      <c r="C30" s="55"/>
      <c r="D30" s="55"/>
      <c r="E30" s="55"/>
      <c r="F30" s="55"/>
      <c r="G30" s="55"/>
      <c r="H30" s="55"/>
      <c r="I30" s="57"/>
      <c r="J30" s="57"/>
      <c r="K30" s="55"/>
      <c r="L30" s="55" t="b">
        <v>0</v>
      </c>
      <c r="M30" s="55" t="b">
        <v>0</v>
      </c>
      <c r="N30" s="55"/>
    </row>
    <row r="31">
      <c r="A31" s="60"/>
      <c r="B31" s="60"/>
      <c r="C31" s="60"/>
      <c r="D31" s="60"/>
      <c r="E31" s="60"/>
      <c r="F31" s="60"/>
      <c r="G31" s="60"/>
      <c r="H31" s="60"/>
      <c r="I31" s="61"/>
      <c r="J31" s="61"/>
      <c r="K31" s="60"/>
      <c r="L31" s="60" t="b">
        <v>0</v>
      </c>
      <c r="M31" s="60" t="b">
        <v>0</v>
      </c>
      <c r="N31" s="60"/>
    </row>
    <row r="32">
      <c r="A32" s="55"/>
      <c r="B32" s="55"/>
      <c r="C32" s="55"/>
      <c r="D32" s="55"/>
      <c r="E32" s="55"/>
      <c r="F32" s="55"/>
      <c r="G32" s="55"/>
      <c r="H32" s="55"/>
      <c r="I32" s="57"/>
      <c r="J32" s="57"/>
      <c r="K32" s="55"/>
      <c r="L32" s="55" t="b">
        <v>0</v>
      </c>
      <c r="M32" s="55" t="b">
        <v>0</v>
      </c>
      <c r="N32" s="55"/>
    </row>
    <row r="33">
      <c r="A33" s="60"/>
      <c r="B33" s="60"/>
      <c r="C33" s="60"/>
      <c r="D33" s="60"/>
      <c r="E33" s="60"/>
      <c r="F33" s="60"/>
      <c r="G33" s="60"/>
      <c r="H33" s="60"/>
      <c r="I33" s="61"/>
      <c r="J33" s="61"/>
      <c r="K33" s="60"/>
      <c r="L33" s="60" t="b">
        <v>0</v>
      </c>
      <c r="M33" s="60" t="b">
        <v>0</v>
      </c>
      <c r="N33" s="60"/>
    </row>
    <row r="34">
      <c r="A34" s="55"/>
      <c r="B34" s="55"/>
      <c r="C34" s="55"/>
      <c r="D34" s="55"/>
      <c r="E34" s="55"/>
      <c r="F34" s="55"/>
      <c r="G34" s="55"/>
      <c r="H34" s="55"/>
      <c r="I34" s="57"/>
      <c r="J34" s="57"/>
      <c r="K34" s="55"/>
      <c r="L34" s="55" t="b">
        <v>0</v>
      </c>
      <c r="M34" s="55" t="b">
        <v>0</v>
      </c>
      <c r="N34" s="55"/>
    </row>
    <row r="35">
      <c r="A35" s="60"/>
      <c r="B35" s="60"/>
      <c r="C35" s="60"/>
      <c r="D35" s="60"/>
      <c r="E35" s="60"/>
      <c r="F35" s="60"/>
      <c r="G35" s="60"/>
      <c r="H35" s="60"/>
      <c r="I35" s="61"/>
      <c r="J35" s="61"/>
      <c r="K35" s="60"/>
      <c r="L35" s="60" t="b">
        <v>0</v>
      </c>
      <c r="M35" s="60" t="b">
        <v>0</v>
      </c>
      <c r="N35" s="60"/>
    </row>
    <row r="36">
      <c r="A36" s="55"/>
      <c r="B36" s="55"/>
      <c r="C36" s="55"/>
      <c r="D36" s="55"/>
      <c r="E36" s="55"/>
      <c r="F36" s="55"/>
      <c r="G36" s="55"/>
      <c r="H36" s="55"/>
      <c r="I36" s="57"/>
      <c r="J36" s="57"/>
      <c r="K36" s="55"/>
      <c r="L36" s="55" t="b">
        <v>0</v>
      </c>
      <c r="M36" s="55" t="b">
        <v>0</v>
      </c>
      <c r="N36" s="55"/>
    </row>
    <row r="37">
      <c r="A37" s="60"/>
      <c r="B37" s="60"/>
      <c r="C37" s="60"/>
      <c r="D37" s="60"/>
      <c r="E37" s="60"/>
      <c r="F37" s="60"/>
      <c r="G37" s="60"/>
      <c r="H37" s="60"/>
      <c r="I37" s="61"/>
      <c r="J37" s="61"/>
      <c r="K37" s="60"/>
      <c r="L37" s="60" t="b">
        <v>0</v>
      </c>
      <c r="M37" s="60" t="b">
        <v>0</v>
      </c>
      <c r="N37" s="60"/>
    </row>
    <row r="38">
      <c r="A38" s="55"/>
      <c r="B38" s="55"/>
      <c r="C38" s="55"/>
      <c r="D38" s="55"/>
      <c r="E38" s="55"/>
      <c r="F38" s="55"/>
      <c r="G38" s="55"/>
      <c r="H38" s="55"/>
      <c r="I38" s="57"/>
      <c r="J38" s="57"/>
      <c r="K38" s="55"/>
      <c r="L38" s="55" t="b">
        <v>0</v>
      </c>
      <c r="M38" s="55" t="b">
        <v>0</v>
      </c>
      <c r="N38" s="55"/>
    </row>
    <row r="39">
      <c r="A39" s="60"/>
      <c r="B39" s="60"/>
      <c r="C39" s="60"/>
      <c r="D39" s="60"/>
      <c r="E39" s="60"/>
      <c r="F39" s="60"/>
      <c r="G39" s="60"/>
      <c r="H39" s="60"/>
      <c r="I39" s="61"/>
      <c r="J39" s="61"/>
      <c r="K39" s="60"/>
      <c r="L39" s="60" t="b">
        <v>0</v>
      </c>
      <c r="M39" s="60" t="b">
        <v>0</v>
      </c>
      <c r="N39" s="60"/>
    </row>
    <row r="40">
      <c r="A40" s="55"/>
      <c r="B40" s="55"/>
      <c r="C40" s="55"/>
      <c r="D40" s="55"/>
      <c r="E40" s="55"/>
      <c r="F40" s="55"/>
      <c r="G40" s="55"/>
      <c r="H40" s="55"/>
      <c r="I40" s="57"/>
      <c r="J40" s="57"/>
      <c r="K40" s="55"/>
      <c r="L40" s="55" t="b">
        <v>0</v>
      </c>
      <c r="M40" s="55" t="b">
        <v>0</v>
      </c>
      <c r="N40" s="55"/>
    </row>
    <row r="41">
      <c r="A41" s="60"/>
      <c r="B41" s="60"/>
      <c r="C41" s="60"/>
      <c r="D41" s="60"/>
      <c r="E41" s="60"/>
      <c r="F41" s="60"/>
      <c r="G41" s="60"/>
      <c r="H41" s="60"/>
      <c r="I41" s="61"/>
      <c r="J41" s="61"/>
      <c r="K41" s="60"/>
      <c r="L41" s="60" t="b">
        <v>0</v>
      </c>
      <c r="M41" s="60" t="b">
        <v>0</v>
      </c>
      <c r="N41" s="60"/>
    </row>
    <row r="42">
      <c r="A42" s="55"/>
      <c r="B42" s="55"/>
      <c r="C42" s="55"/>
      <c r="D42" s="55"/>
      <c r="E42" s="55"/>
      <c r="F42" s="55"/>
      <c r="G42" s="55"/>
      <c r="H42" s="55"/>
      <c r="I42" s="57"/>
      <c r="J42" s="57"/>
      <c r="K42" s="55"/>
      <c r="L42" s="55" t="b">
        <v>0</v>
      </c>
      <c r="M42" s="55" t="b">
        <v>0</v>
      </c>
      <c r="N42" s="55"/>
    </row>
    <row r="43">
      <c r="A43" s="60"/>
      <c r="B43" s="60"/>
      <c r="C43" s="60"/>
      <c r="D43" s="60"/>
      <c r="E43" s="60"/>
      <c r="F43" s="60"/>
      <c r="G43" s="60"/>
      <c r="H43" s="60"/>
      <c r="I43" s="61"/>
      <c r="J43" s="61"/>
      <c r="K43" s="60"/>
      <c r="L43" s="60" t="b">
        <v>0</v>
      </c>
      <c r="M43" s="60" t="b">
        <v>0</v>
      </c>
      <c r="N43" s="60"/>
    </row>
    <row r="44">
      <c r="A44" s="55"/>
      <c r="B44" s="55"/>
      <c r="C44" s="55"/>
      <c r="D44" s="55"/>
      <c r="E44" s="55"/>
      <c r="F44" s="55"/>
      <c r="G44" s="55"/>
      <c r="H44" s="55"/>
      <c r="I44" s="57"/>
      <c r="J44" s="57"/>
      <c r="K44" s="55"/>
      <c r="L44" s="55" t="b">
        <v>0</v>
      </c>
      <c r="M44" s="55" t="b">
        <v>0</v>
      </c>
      <c r="N44" s="55"/>
    </row>
    <row r="45">
      <c r="A45" s="60"/>
      <c r="B45" s="60"/>
      <c r="C45" s="60"/>
      <c r="D45" s="60"/>
      <c r="E45" s="60"/>
      <c r="F45" s="60"/>
      <c r="G45" s="60"/>
      <c r="H45" s="60"/>
      <c r="I45" s="61"/>
      <c r="J45" s="61"/>
      <c r="K45" s="60"/>
      <c r="L45" s="60" t="b">
        <v>0</v>
      </c>
      <c r="M45" s="60" t="b">
        <v>0</v>
      </c>
      <c r="N45" s="60"/>
    </row>
    <row r="46">
      <c r="A46" s="55"/>
      <c r="B46" s="55"/>
      <c r="C46" s="55"/>
      <c r="D46" s="55"/>
      <c r="E46" s="55"/>
      <c r="F46" s="55"/>
      <c r="G46" s="55"/>
      <c r="H46" s="55"/>
      <c r="I46" s="57"/>
      <c r="J46" s="57"/>
      <c r="K46" s="55"/>
      <c r="L46" s="55" t="b">
        <v>0</v>
      </c>
      <c r="M46" s="55" t="b">
        <v>0</v>
      </c>
      <c r="N46" s="55"/>
    </row>
    <row r="47">
      <c r="A47" s="60"/>
      <c r="B47" s="60"/>
      <c r="C47" s="60"/>
      <c r="D47" s="60"/>
      <c r="E47" s="60"/>
      <c r="F47" s="60"/>
      <c r="G47" s="60"/>
      <c r="H47" s="60"/>
      <c r="I47" s="61"/>
      <c r="J47" s="61"/>
      <c r="K47" s="60"/>
      <c r="L47" s="60" t="b">
        <v>0</v>
      </c>
      <c r="M47" s="60" t="b">
        <v>0</v>
      </c>
      <c r="N47" s="60"/>
    </row>
    <row r="48">
      <c r="A48" s="55"/>
      <c r="B48" s="55"/>
      <c r="C48" s="55"/>
      <c r="D48" s="55"/>
      <c r="E48" s="55"/>
      <c r="F48" s="55"/>
      <c r="G48" s="55"/>
      <c r="H48" s="55"/>
      <c r="I48" s="57"/>
      <c r="J48" s="57"/>
      <c r="K48" s="55"/>
      <c r="L48" s="55" t="b">
        <v>0</v>
      </c>
      <c r="M48" s="55" t="b">
        <v>0</v>
      </c>
      <c r="N48" s="55"/>
    </row>
    <row r="49">
      <c r="A49" s="60"/>
      <c r="B49" s="60"/>
      <c r="C49" s="60"/>
      <c r="D49" s="60"/>
      <c r="E49" s="60"/>
      <c r="F49" s="60"/>
      <c r="G49" s="60"/>
      <c r="H49" s="60"/>
      <c r="I49" s="61"/>
      <c r="J49" s="61"/>
      <c r="K49" s="60"/>
      <c r="L49" s="60" t="b">
        <v>0</v>
      </c>
      <c r="M49" s="60" t="b">
        <v>0</v>
      </c>
      <c r="N49" s="60"/>
    </row>
    <row r="50">
      <c r="A50" s="55"/>
      <c r="B50" s="55"/>
      <c r="C50" s="55"/>
      <c r="D50" s="55"/>
      <c r="E50" s="55"/>
      <c r="F50" s="55"/>
      <c r="G50" s="55"/>
      <c r="H50" s="55"/>
      <c r="I50" s="57"/>
      <c r="J50" s="57"/>
      <c r="K50" s="55"/>
      <c r="L50" s="55" t="b">
        <v>0</v>
      </c>
      <c r="M50" s="55" t="b">
        <v>0</v>
      </c>
      <c r="N50" s="55"/>
    </row>
    <row r="51">
      <c r="A51" s="60"/>
      <c r="B51" s="60"/>
      <c r="C51" s="60"/>
      <c r="D51" s="60"/>
      <c r="E51" s="60"/>
      <c r="F51" s="60"/>
      <c r="G51" s="60"/>
      <c r="H51" s="60"/>
      <c r="I51" s="61"/>
      <c r="J51" s="61"/>
      <c r="K51" s="60"/>
      <c r="L51" s="60" t="b">
        <v>0</v>
      </c>
      <c r="M51" s="60" t="b">
        <v>0</v>
      </c>
      <c r="N51" s="60"/>
    </row>
    <row r="52">
      <c r="A52" s="55"/>
      <c r="B52" s="55"/>
      <c r="C52" s="55"/>
      <c r="D52" s="55"/>
      <c r="E52" s="55"/>
      <c r="F52" s="55"/>
      <c r="G52" s="55"/>
      <c r="H52" s="55"/>
      <c r="I52" s="57"/>
      <c r="J52" s="57"/>
      <c r="K52" s="55"/>
      <c r="L52" s="55" t="b">
        <v>0</v>
      </c>
      <c r="M52" s="55" t="b">
        <v>0</v>
      </c>
      <c r="N52" s="55"/>
    </row>
    <row r="53">
      <c r="A53" s="60"/>
      <c r="B53" s="60"/>
      <c r="C53" s="60"/>
      <c r="D53" s="60"/>
      <c r="E53" s="60"/>
      <c r="F53" s="60"/>
      <c r="G53" s="60"/>
      <c r="H53" s="60"/>
      <c r="I53" s="61"/>
      <c r="J53" s="61"/>
      <c r="K53" s="60"/>
      <c r="L53" s="60" t="b">
        <v>0</v>
      </c>
      <c r="M53" s="60" t="b">
        <v>0</v>
      </c>
      <c r="N53" s="60"/>
    </row>
    <row r="54">
      <c r="A54" s="55"/>
      <c r="B54" s="55"/>
      <c r="C54" s="55"/>
      <c r="D54" s="55"/>
      <c r="E54" s="55"/>
      <c r="F54" s="55"/>
      <c r="G54" s="55"/>
      <c r="H54" s="55"/>
      <c r="I54" s="57"/>
      <c r="J54" s="57"/>
      <c r="K54" s="55"/>
      <c r="L54" s="55" t="b">
        <v>0</v>
      </c>
      <c r="M54" s="55" t="b">
        <v>0</v>
      </c>
      <c r="N54" s="55"/>
    </row>
    <row r="55">
      <c r="A55" s="60"/>
      <c r="B55" s="60"/>
      <c r="C55" s="60"/>
      <c r="D55" s="60"/>
      <c r="E55" s="60"/>
      <c r="F55" s="60"/>
      <c r="G55" s="60"/>
      <c r="H55" s="60"/>
      <c r="I55" s="61"/>
      <c r="J55" s="61"/>
      <c r="K55" s="60"/>
      <c r="L55" s="60" t="b">
        <v>0</v>
      </c>
      <c r="M55" s="60" t="b">
        <v>0</v>
      </c>
      <c r="N55" s="60"/>
    </row>
    <row r="56">
      <c r="A56" s="55"/>
      <c r="B56" s="55"/>
      <c r="C56" s="55"/>
      <c r="D56" s="55"/>
      <c r="E56" s="55"/>
      <c r="F56" s="55"/>
      <c r="G56" s="55"/>
      <c r="H56" s="55"/>
      <c r="I56" s="57"/>
      <c r="J56" s="57"/>
      <c r="K56" s="55"/>
      <c r="L56" s="55" t="b">
        <v>0</v>
      </c>
      <c r="M56" s="55" t="b">
        <v>0</v>
      </c>
      <c r="N56" s="55"/>
    </row>
    <row r="57">
      <c r="A57" s="60"/>
      <c r="B57" s="60"/>
      <c r="C57" s="60"/>
      <c r="D57" s="60"/>
      <c r="E57" s="60"/>
      <c r="F57" s="60"/>
      <c r="G57" s="60"/>
      <c r="H57" s="60"/>
      <c r="I57" s="61"/>
      <c r="J57" s="61"/>
      <c r="K57" s="60"/>
      <c r="L57" s="60" t="b">
        <v>0</v>
      </c>
      <c r="M57" s="60" t="b">
        <v>0</v>
      </c>
      <c r="N57" s="60"/>
    </row>
    <row r="58">
      <c r="A58" s="55"/>
      <c r="B58" s="55"/>
      <c r="C58" s="55"/>
      <c r="D58" s="55"/>
      <c r="E58" s="55"/>
      <c r="F58" s="55"/>
      <c r="G58" s="55"/>
      <c r="H58" s="55"/>
      <c r="I58" s="57"/>
      <c r="J58" s="57"/>
      <c r="K58" s="55"/>
      <c r="L58" s="55" t="b">
        <v>0</v>
      </c>
      <c r="M58" s="55" t="b">
        <v>0</v>
      </c>
      <c r="N58" s="55"/>
    </row>
    <row r="59">
      <c r="A59" s="60"/>
      <c r="B59" s="60"/>
      <c r="C59" s="60"/>
      <c r="D59" s="60"/>
      <c r="E59" s="60"/>
      <c r="F59" s="60"/>
      <c r="G59" s="60"/>
      <c r="H59" s="60"/>
      <c r="I59" s="61"/>
      <c r="J59" s="61"/>
      <c r="K59" s="60"/>
      <c r="L59" s="60" t="b">
        <v>0</v>
      </c>
      <c r="M59" s="60" t="b">
        <v>0</v>
      </c>
      <c r="N59" s="60"/>
    </row>
    <row r="60">
      <c r="A60" s="55"/>
      <c r="B60" s="55"/>
      <c r="C60" s="55"/>
      <c r="D60" s="55"/>
      <c r="E60" s="55"/>
      <c r="F60" s="55"/>
      <c r="G60" s="55"/>
      <c r="H60" s="55"/>
      <c r="I60" s="57"/>
      <c r="J60" s="57"/>
      <c r="K60" s="55"/>
      <c r="L60" s="55" t="b">
        <v>0</v>
      </c>
      <c r="M60" s="55" t="b">
        <v>0</v>
      </c>
      <c r="N60" s="55"/>
    </row>
    <row r="61">
      <c r="A61" s="60"/>
      <c r="B61" s="60"/>
      <c r="C61" s="60"/>
      <c r="D61" s="60"/>
      <c r="E61" s="60"/>
      <c r="F61" s="60"/>
      <c r="G61" s="60"/>
      <c r="H61" s="60"/>
      <c r="I61" s="61"/>
      <c r="J61" s="61"/>
      <c r="K61" s="60"/>
      <c r="L61" s="60" t="b">
        <v>0</v>
      </c>
      <c r="M61" s="60" t="b">
        <v>0</v>
      </c>
      <c r="N61" s="60"/>
    </row>
    <row r="62">
      <c r="A62" s="55"/>
      <c r="B62" s="55"/>
      <c r="C62" s="55"/>
      <c r="D62" s="55"/>
      <c r="E62" s="55"/>
      <c r="F62" s="55"/>
      <c r="G62" s="55"/>
      <c r="H62" s="55"/>
      <c r="I62" s="57"/>
      <c r="J62" s="57"/>
      <c r="K62" s="55"/>
      <c r="L62" s="55" t="b">
        <v>0</v>
      </c>
      <c r="M62" s="55" t="b">
        <v>0</v>
      </c>
      <c r="N62" s="55"/>
    </row>
    <row r="63">
      <c r="A63" s="60"/>
      <c r="B63" s="60"/>
      <c r="C63" s="60"/>
      <c r="D63" s="60"/>
      <c r="E63" s="60"/>
      <c r="F63" s="60"/>
      <c r="G63" s="60"/>
      <c r="H63" s="60"/>
      <c r="I63" s="61"/>
      <c r="J63" s="61"/>
      <c r="K63" s="60"/>
      <c r="L63" s="60" t="b">
        <v>0</v>
      </c>
      <c r="M63" s="60" t="b">
        <v>0</v>
      </c>
      <c r="N63" s="60"/>
    </row>
    <row r="64">
      <c r="A64" s="55"/>
      <c r="B64" s="55"/>
      <c r="C64" s="55"/>
      <c r="D64" s="55"/>
      <c r="E64" s="55"/>
      <c r="F64" s="55"/>
      <c r="G64" s="55"/>
      <c r="H64" s="55"/>
      <c r="I64" s="57"/>
      <c r="J64" s="57"/>
      <c r="K64" s="55"/>
      <c r="L64" s="55" t="b">
        <v>0</v>
      </c>
      <c r="M64" s="55" t="b">
        <v>0</v>
      </c>
      <c r="N64" s="55"/>
    </row>
    <row r="65">
      <c r="A65" s="60"/>
      <c r="B65" s="60"/>
      <c r="C65" s="60"/>
      <c r="D65" s="60"/>
      <c r="E65" s="60"/>
      <c r="F65" s="60"/>
      <c r="G65" s="60"/>
      <c r="H65" s="60"/>
      <c r="I65" s="61"/>
      <c r="J65" s="61"/>
      <c r="K65" s="60"/>
      <c r="L65" s="60" t="b">
        <v>0</v>
      </c>
      <c r="M65" s="60" t="b">
        <v>0</v>
      </c>
      <c r="N65" s="60"/>
    </row>
    <row r="66">
      <c r="A66" s="55"/>
      <c r="B66" s="55"/>
      <c r="C66" s="55"/>
      <c r="D66" s="55"/>
      <c r="E66" s="55"/>
      <c r="F66" s="55"/>
      <c r="G66" s="55"/>
      <c r="H66" s="55"/>
      <c r="I66" s="57"/>
      <c r="J66" s="57"/>
      <c r="K66" s="55"/>
      <c r="L66" s="55" t="b">
        <v>0</v>
      </c>
      <c r="M66" s="55" t="b">
        <v>0</v>
      </c>
      <c r="N66" s="55"/>
    </row>
    <row r="67">
      <c r="A67" s="60"/>
      <c r="B67" s="60"/>
      <c r="C67" s="60"/>
      <c r="D67" s="60"/>
      <c r="E67" s="60"/>
      <c r="F67" s="60"/>
      <c r="G67" s="60"/>
      <c r="H67" s="60"/>
      <c r="I67" s="61"/>
      <c r="J67" s="61"/>
      <c r="K67" s="60"/>
      <c r="L67" s="60" t="b">
        <v>0</v>
      </c>
      <c r="M67" s="60" t="b">
        <v>0</v>
      </c>
      <c r="N67" s="60"/>
    </row>
    <row r="68">
      <c r="A68" s="55"/>
      <c r="B68" s="55"/>
      <c r="C68" s="55"/>
      <c r="D68" s="55"/>
      <c r="E68" s="55"/>
      <c r="F68" s="55"/>
      <c r="G68" s="55"/>
      <c r="H68" s="55"/>
      <c r="I68" s="57"/>
      <c r="J68" s="57"/>
      <c r="K68" s="55"/>
      <c r="L68" s="55" t="b">
        <v>0</v>
      </c>
      <c r="M68" s="55" t="b">
        <v>0</v>
      </c>
      <c r="N68" s="55"/>
    </row>
    <row r="69">
      <c r="A69" s="60"/>
      <c r="B69" s="60"/>
      <c r="C69" s="60"/>
      <c r="D69" s="60"/>
      <c r="E69" s="60"/>
      <c r="F69" s="60"/>
      <c r="G69" s="60"/>
      <c r="H69" s="60"/>
      <c r="I69" s="61"/>
      <c r="J69" s="61"/>
      <c r="K69" s="60"/>
      <c r="L69" s="60" t="b">
        <v>0</v>
      </c>
      <c r="M69" s="60" t="b">
        <v>0</v>
      </c>
      <c r="N69" s="60"/>
    </row>
    <row r="70">
      <c r="A70" s="55"/>
      <c r="B70" s="55"/>
      <c r="C70" s="55"/>
      <c r="D70" s="55"/>
      <c r="E70" s="55"/>
      <c r="F70" s="55"/>
      <c r="G70" s="55"/>
      <c r="H70" s="55"/>
      <c r="I70" s="57"/>
      <c r="J70" s="57"/>
      <c r="K70" s="55"/>
      <c r="L70" s="55" t="b">
        <v>0</v>
      </c>
      <c r="M70" s="55" t="b">
        <v>0</v>
      </c>
      <c r="N70" s="55"/>
    </row>
    <row r="71">
      <c r="A71" s="60"/>
      <c r="B71" s="60"/>
      <c r="C71" s="60"/>
      <c r="D71" s="60"/>
      <c r="E71" s="60"/>
      <c r="F71" s="60"/>
      <c r="G71" s="60"/>
      <c r="H71" s="60"/>
      <c r="I71" s="61"/>
      <c r="J71" s="61"/>
      <c r="K71" s="60"/>
      <c r="L71" s="60" t="b">
        <v>0</v>
      </c>
      <c r="M71" s="60" t="b">
        <v>0</v>
      </c>
      <c r="N71" s="60"/>
    </row>
    <row r="72">
      <c r="A72" s="55"/>
      <c r="B72" s="55"/>
      <c r="C72" s="55"/>
      <c r="D72" s="55"/>
      <c r="E72" s="55"/>
      <c r="F72" s="55"/>
      <c r="G72" s="55"/>
      <c r="H72" s="55"/>
      <c r="I72" s="57"/>
      <c r="J72" s="57"/>
      <c r="K72" s="55"/>
      <c r="L72" s="55" t="b">
        <v>0</v>
      </c>
      <c r="M72" s="55" t="b">
        <v>0</v>
      </c>
      <c r="N72" s="55"/>
    </row>
    <row r="73">
      <c r="A73" s="60"/>
      <c r="B73" s="60"/>
      <c r="C73" s="60"/>
      <c r="D73" s="60"/>
      <c r="E73" s="60"/>
      <c r="F73" s="60"/>
      <c r="G73" s="60"/>
      <c r="H73" s="60"/>
      <c r="I73" s="61"/>
      <c r="J73" s="61"/>
      <c r="K73" s="60"/>
      <c r="L73" s="60" t="b">
        <v>0</v>
      </c>
      <c r="M73" s="60" t="b">
        <v>0</v>
      </c>
      <c r="N73" s="60"/>
    </row>
    <row r="74">
      <c r="A74" s="55"/>
      <c r="B74" s="55"/>
      <c r="C74" s="55"/>
      <c r="D74" s="55"/>
      <c r="E74" s="55"/>
      <c r="F74" s="55"/>
      <c r="G74" s="55"/>
      <c r="H74" s="55"/>
      <c r="I74" s="57"/>
      <c r="J74" s="57"/>
      <c r="K74" s="55"/>
      <c r="L74" s="55" t="b">
        <v>0</v>
      </c>
      <c r="M74" s="55" t="b">
        <v>0</v>
      </c>
      <c r="N74" s="55"/>
    </row>
    <row r="75">
      <c r="A75" s="60"/>
      <c r="B75" s="60"/>
      <c r="C75" s="60"/>
      <c r="D75" s="60"/>
      <c r="E75" s="60"/>
      <c r="F75" s="60"/>
      <c r="G75" s="60"/>
      <c r="H75" s="60"/>
      <c r="I75" s="61"/>
      <c r="J75" s="61"/>
      <c r="K75" s="60"/>
      <c r="L75" s="60" t="b">
        <v>0</v>
      </c>
      <c r="M75" s="60" t="b">
        <v>0</v>
      </c>
      <c r="N75" s="60"/>
    </row>
    <row r="76">
      <c r="A76" s="55"/>
      <c r="B76" s="55"/>
      <c r="C76" s="55"/>
      <c r="D76" s="55"/>
      <c r="E76" s="55"/>
      <c r="F76" s="55"/>
      <c r="G76" s="55"/>
      <c r="H76" s="55"/>
      <c r="I76" s="57"/>
      <c r="J76" s="57"/>
      <c r="K76" s="55"/>
      <c r="L76" s="55" t="b">
        <v>0</v>
      </c>
      <c r="M76" s="55" t="b">
        <v>0</v>
      </c>
      <c r="N76" s="55"/>
    </row>
    <row r="77">
      <c r="A77" s="60"/>
      <c r="B77" s="60"/>
      <c r="C77" s="60"/>
      <c r="D77" s="60"/>
      <c r="E77" s="60"/>
      <c r="F77" s="60"/>
      <c r="G77" s="60"/>
      <c r="H77" s="60"/>
      <c r="I77" s="61"/>
      <c r="J77" s="61"/>
      <c r="K77" s="60"/>
      <c r="L77" s="60" t="b">
        <v>0</v>
      </c>
      <c r="M77" s="60" t="b">
        <v>0</v>
      </c>
      <c r="N77" s="60"/>
    </row>
    <row r="78">
      <c r="A78" s="55"/>
      <c r="B78" s="55"/>
      <c r="C78" s="55"/>
      <c r="D78" s="55"/>
      <c r="E78" s="55"/>
      <c r="F78" s="55"/>
      <c r="G78" s="55"/>
      <c r="H78" s="55"/>
      <c r="I78" s="57"/>
      <c r="J78" s="57"/>
      <c r="K78" s="55"/>
      <c r="L78" s="55" t="b">
        <v>0</v>
      </c>
      <c r="M78" s="55" t="b">
        <v>0</v>
      </c>
      <c r="N78" s="55"/>
    </row>
    <row r="79">
      <c r="A79" s="60"/>
      <c r="B79" s="60"/>
      <c r="C79" s="60"/>
      <c r="D79" s="60"/>
      <c r="E79" s="60"/>
      <c r="F79" s="60"/>
      <c r="G79" s="60"/>
      <c r="H79" s="60"/>
      <c r="I79" s="61"/>
      <c r="J79" s="61"/>
      <c r="K79" s="60"/>
      <c r="L79" s="60" t="b">
        <v>0</v>
      </c>
      <c r="M79" s="60" t="b">
        <v>0</v>
      </c>
      <c r="N79" s="60"/>
    </row>
    <row r="80">
      <c r="A80" s="55"/>
      <c r="B80" s="55"/>
      <c r="C80" s="55"/>
      <c r="D80" s="55"/>
      <c r="E80" s="55"/>
      <c r="F80" s="55"/>
      <c r="G80" s="55"/>
      <c r="H80" s="55"/>
      <c r="I80" s="57"/>
      <c r="J80" s="57"/>
      <c r="K80" s="55"/>
      <c r="L80" s="55" t="b">
        <v>0</v>
      </c>
      <c r="M80" s="55" t="b">
        <v>0</v>
      </c>
      <c r="N80" s="55"/>
    </row>
    <row r="81">
      <c r="A81" s="60"/>
      <c r="B81" s="60"/>
      <c r="C81" s="60"/>
      <c r="D81" s="60"/>
      <c r="E81" s="60"/>
      <c r="F81" s="60"/>
      <c r="G81" s="60"/>
      <c r="H81" s="60"/>
      <c r="I81" s="61"/>
      <c r="J81" s="61"/>
      <c r="K81" s="60"/>
      <c r="L81" s="60" t="b">
        <v>0</v>
      </c>
      <c r="M81" s="60" t="b">
        <v>0</v>
      </c>
      <c r="N81" s="60"/>
    </row>
    <row r="82">
      <c r="A82" s="55"/>
      <c r="B82" s="55"/>
      <c r="C82" s="55"/>
      <c r="D82" s="55"/>
      <c r="E82" s="55"/>
      <c r="F82" s="55"/>
      <c r="G82" s="55"/>
      <c r="H82" s="55"/>
      <c r="I82" s="57"/>
      <c r="J82" s="57"/>
      <c r="K82" s="55"/>
      <c r="L82" s="55" t="b">
        <v>0</v>
      </c>
      <c r="M82" s="55" t="b">
        <v>0</v>
      </c>
      <c r="N82" s="55"/>
    </row>
    <row r="83">
      <c r="A83" s="60"/>
      <c r="B83" s="60"/>
      <c r="C83" s="60"/>
      <c r="D83" s="60"/>
      <c r="E83" s="60"/>
      <c r="F83" s="60"/>
      <c r="G83" s="60"/>
      <c r="H83" s="60"/>
      <c r="I83" s="61"/>
      <c r="J83" s="61"/>
      <c r="K83" s="60"/>
      <c r="L83" s="60" t="b">
        <v>0</v>
      </c>
      <c r="M83" s="60" t="b">
        <v>0</v>
      </c>
      <c r="N83" s="60"/>
    </row>
    <row r="84">
      <c r="A84" s="55"/>
      <c r="B84" s="55"/>
      <c r="C84" s="55"/>
      <c r="D84" s="55"/>
      <c r="E84" s="55"/>
      <c r="F84" s="55"/>
      <c r="G84" s="55"/>
      <c r="H84" s="55"/>
      <c r="I84" s="57"/>
      <c r="J84" s="57"/>
      <c r="K84" s="55"/>
      <c r="L84" s="55" t="b">
        <v>0</v>
      </c>
      <c r="M84" s="55" t="b">
        <v>0</v>
      </c>
      <c r="N84" s="55"/>
    </row>
    <row r="85">
      <c r="A85" s="60"/>
      <c r="B85" s="60"/>
      <c r="C85" s="60"/>
      <c r="D85" s="60"/>
      <c r="E85" s="60"/>
      <c r="F85" s="60"/>
      <c r="G85" s="60"/>
      <c r="H85" s="60"/>
      <c r="I85" s="61"/>
      <c r="J85" s="61"/>
      <c r="K85" s="60"/>
      <c r="L85" s="60" t="b">
        <v>0</v>
      </c>
      <c r="M85" s="60" t="b">
        <v>0</v>
      </c>
      <c r="N85" s="60"/>
    </row>
    <row r="86">
      <c r="A86" s="55"/>
      <c r="B86" s="55"/>
      <c r="C86" s="55"/>
      <c r="D86" s="55"/>
      <c r="E86" s="55"/>
      <c r="F86" s="55"/>
      <c r="G86" s="55"/>
      <c r="H86" s="55"/>
      <c r="I86" s="57"/>
      <c r="J86" s="57"/>
      <c r="K86" s="55"/>
      <c r="L86" s="55" t="b">
        <v>0</v>
      </c>
      <c r="M86" s="55" t="b">
        <v>0</v>
      </c>
      <c r="N86" s="55"/>
    </row>
    <row r="87">
      <c r="A87" s="60"/>
      <c r="B87" s="60"/>
      <c r="C87" s="60"/>
      <c r="D87" s="60"/>
      <c r="E87" s="60"/>
      <c r="F87" s="60"/>
      <c r="G87" s="60"/>
      <c r="H87" s="60"/>
      <c r="I87" s="61"/>
      <c r="J87" s="61"/>
      <c r="K87" s="60"/>
      <c r="L87" s="60" t="b">
        <v>0</v>
      </c>
      <c r="M87" s="60" t="b">
        <v>0</v>
      </c>
      <c r="N87" s="60"/>
    </row>
    <row r="88">
      <c r="A88" s="55"/>
      <c r="B88" s="55"/>
      <c r="C88" s="55"/>
      <c r="D88" s="55"/>
      <c r="E88" s="55"/>
      <c r="F88" s="55"/>
      <c r="G88" s="55"/>
      <c r="H88" s="55"/>
      <c r="I88" s="57"/>
      <c r="J88" s="57"/>
      <c r="K88" s="55"/>
      <c r="L88" s="55" t="b">
        <v>0</v>
      </c>
      <c r="M88" s="55" t="b">
        <v>0</v>
      </c>
      <c r="N88" s="55"/>
    </row>
    <row r="89">
      <c r="A89" s="60"/>
      <c r="B89" s="60"/>
      <c r="C89" s="60"/>
      <c r="D89" s="60"/>
      <c r="E89" s="60"/>
      <c r="F89" s="60"/>
      <c r="G89" s="60"/>
      <c r="H89" s="60"/>
      <c r="I89" s="61"/>
      <c r="J89" s="61"/>
      <c r="K89" s="60"/>
      <c r="L89" s="60" t="b">
        <v>0</v>
      </c>
      <c r="M89" s="60" t="b">
        <v>0</v>
      </c>
      <c r="N89" s="60"/>
    </row>
    <row r="90">
      <c r="A90" s="55"/>
      <c r="B90" s="55"/>
      <c r="C90" s="55"/>
      <c r="D90" s="55"/>
      <c r="E90" s="55"/>
      <c r="F90" s="55"/>
      <c r="G90" s="55"/>
      <c r="H90" s="55"/>
      <c r="I90" s="57"/>
      <c r="J90" s="57"/>
      <c r="K90" s="55"/>
      <c r="L90" s="55" t="b">
        <v>0</v>
      </c>
      <c r="M90" s="55" t="b">
        <v>0</v>
      </c>
      <c r="N90" s="55"/>
    </row>
    <row r="91">
      <c r="A91" s="60"/>
      <c r="B91" s="60"/>
      <c r="C91" s="60"/>
      <c r="D91" s="60"/>
      <c r="E91" s="60"/>
      <c r="F91" s="60"/>
      <c r="G91" s="60"/>
      <c r="H91" s="60"/>
      <c r="I91" s="61"/>
      <c r="J91" s="61"/>
      <c r="K91" s="60"/>
      <c r="L91" s="60" t="b">
        <v>0</v>
      </c>
      <c r="M91" s="60" t="b">
        <v>0</v>
      </c>
      <c r="N91" s="60"/>
    </row>
    <row r="92">
      <c r="A92" s="55"/>
      <c r="B92" s="55"/>
      <c r="C92" s="55"/>
      <c r="D92" s="55"/>
      <c r="E92" s="55"/>
      <c r="F92" s="55"/>
      <c r="G92" s="55"/>
      <c r="H92" s="55"/>
      <c r="I92" s="57"/>
      <c r="J92" s="57"/>
      <c r="K92" s="55"/>
      <c r="L92" s="55" t="b">
        <v>0</v>
      </c>
      <c r="M92" s="55" t="b">
        <v>0</v>
      </c>
      <c r="N92" s="55"/>
    </row>
    <row r="93">
      <c r="A93" s="60"/>
      <c r="B93" s="60"/>
      <c r="C93" s="60"/>
      <c r="D93" s="60"/>
      <c r="E93" s="60"/>
      <c r="F93" s="60"/>
      <c r="G93" s="60"/>
      <c r="H93" s="60"/>
      <c r="I93" s="61"/>
      <c r="J93" s="61"/>
      <c r="K93" s="60"/>
      <c r="L93" s="60" t="b">
        <v>0</v>
      </c>
      <c r="M93" s="60" t="b">
        <v>0</v>
      </c>
      <c r="N93" s="60"/>
    </row>
    <row r="94">
      <c r="A94" s="55"/>
      <c r="B94" s="55"/>
      <c r="C94" s="55"/>
      <c r="D94" s="55"/>
      <c r="E94" s="55"/>
      <c r="F94" s="55"/>
      <c r="G94" s="55"/>
      <c r="H94" s="55"/>
      <c r="I94" s="57"/>
      <c r="J94" s="57"/>
      <c r="K94" s="55"/>
      <c r="L94" s="55" t="b">
        <v>0</v>
      </c>
      <c r="M94" s="55" t="b">
        <v>0</v>
      </c>
      <c r="N94" s="55"/>
    </row>
    <row r="95">
      <c r="A95" s="60"/>
      <c r="B95" s="60"/>
      <c r="C95" s="60"/>
      <c r="D95" s="60"/>
      <c r="E95" s="60"/>
      <c r="F95" s="60"/>
      <c r="G95" s="60"/>
      <c r="H95" s="60"/>
      <c r="I95" s="61"/>
      <c r="J95" s="61"/>
      <c r="K95" s="60"/>
      <c r="L95" s="60" t="b">
        <v>0</v>
      </c>
      <c r="M95" s="60" t="b">
        <v>0</v>
      </c>
      <c r="N95" s="60"/>
    </row>
    <row r="96">
      <c r="A96" s="55"/>
      <c r="B96" s="55"/>
      <c r="C96" s="55"/>
      <c r="D96" s="55"/>
      <c r="E96" s="55"/>
      <c r="F96" s="55"/>
      <c r="G96" s="55"/>
      <c r="H96" s="55"/>
      <c r="I96" s="57"/>
      <c r="J96" s="57"/>
      <c r="K96" s="55"/>
      <c r="L96" s="55" t="b">
        <v>0</v>
      </c>
      <c r="M96" s="55" t="b">
        <v>0</v>
      </c>
      <c r="N96" s="55"/>
    </row>
    <row r="97">
      <c r="A97" s="60"/>
      <c r="B97" s="60"/>
      <c r="C97" s="60"/>
      <c r="D97" s="60"/>
      <c r="E97" s="60"/>
      <c r="F97" s="60"/>
      <c r="G97" s="60"/>
      <c r="H97" s="60"/>
      <c r="I97" s="61"/>
      <c r="J97" s="61"/>
      <c r="K97" s="60"/>
      <c r="L97" s="60" t="b">
        <v>0</v>
      </c>
      <c r="M97" s="60" t="b">
        <v>0</v>
      </c>
      <c r="N97" s="60"/>
    </row>
    <row r="98">
      <c r="A98" s="55"/>
      <c r="B98" s="55"/>
      <c r="C98" s="55"/>
      <c r="D98" s="55"/>
      <c r="E98" s="55"/>
      <c r="F98" s="55"/>
      <c r="G98" s="55"/>
      <c r="H98" s="55"/>
      <c r="I98" s="57"/>
      <c r="J98" s="57"/>
      <c r="K98" s="55"/>
      <c r="L98" s="55" t="b">
        <v>0</v>
      </c>
      <c r="M98" s="55" t="b">
        <v>0</v>
      </c>
      <c r="N98" s="55"/>
    </row>
    <row r="99">
      <c r="A99" s="60"/>
      <c r="B99" s="60"/>
      <c r="C99" s="60"/>
      <c r="D99" s="60"/>
      <c r="E99" s="60"/>
      <c r="F99" s="60"/>
      <c r="G99" s="60"/>
      <c r="H99" s="60"/>
      <c r="I99" s="61"/>
      <c r="J99" s="61"/>
      <c r="K99" s="60"/>
      <c r="L99" s="60" t="b">
        <v>0</v>
      </c>
      <c r="M99" s="60" t="b">
        <v>0</v>
      </c>
      <c r="N99" s="60"/>
    </row>
    <row r="100">
      <c r="A100" s="55"/>
      <c r="B100" s="55"/>
      <c r="C100" s="55"/>
      <c r="D100" s="55"/>
      <c r="E100" s="55"/>
      <c r="F100" s="55"/>
      <c r="G100" s="55"/>
      <c r="H100" s="55"/>
      <c r="I100" s="57"/>
      <c r="J100" s="57"/>
      <c r="K100" s="55"/>
      <c r="L100" s="55" t="b">
        <v>0</v>
      </c>
      <c r="M100" s="55" t="b">
        <v>0</v>
      </c>
      <c r="N100" s="55"/>
    </row>
    <row r="101">
      <c r="A101" s="60"/>
      <c r="B101" s="60"/>
      <c r="C101" s="60"/>
      <c r="D101" s="60"/>
      <c r="E101" s="60"/>
      <c r="F101" s="60"/>
      <c r="G101" s="60"/>
      <c r="H101" s="60"/>
      <c r="I101" s="61"/>
      <c r="J101" s="61"/>
      <c r="K101" s="60"/>
      <c r="L101" s="60" t="b">
        <v>0</v>
      </c>
      <c r="M101" s="60" t="b">
        <v>0</v>
      </c>
      <c r="N101" s="60"/>
    </row>
    <row r="102">
      <c r="A102" s="55"/>
      <c r="B102" s="55"/>
      <c r="C102" s="55"/>
      <c r="D102" s="55"/>
      <c r="E102" s="55"/>
      <c r="F102" s="55"/>
      <c r="G102" s="55"/>
      <c r="H102" s="55"/>
      <c r="I102" s="57"/>
      <c r="J102" s="57"/>
      <c r="K102" s="55"/>
      <c r="L102" s="55" t="b">
        <v>0</v>
      </c>
      <c r="M102" s="55" t="b">
        <v>0</v>
      </c>
      <c r="N102" s="55"/>
    </row>
    <row r="103">
      <c r="A103" s="60"/>
      <c r="B103" s="60"/>
      <c r="C103" s="60"/>
      <c r="D103" s="60"/>
      <c r="E103" s="60"/>
      <c r="F103" s="60"/>
      <c r="G103" s="60"/>
      <c r="H103" s="60"/>
      <c r="I103" s="61"/>
      <c r="J103" s="61"/>
      <c r="K103" s="60"/>
      <c r="L103" s="60" t="b">
        <v>0</v>
      </c>
      <c r="M103" s="60" t="b">
        <v>0</v>
      </c>
      <c r="N103" s="60"/>
    </row>
    <row r="104">
      <c r="A104" s="55"/>
      <c r="B104" s="55"/>
      <c r="C104" s="55"/>
      <c r="D104" s="55"/>
      <c r="E104" s="55"/>
      <c r="F104" s="55"/>
      <c r="G104" s="55"/>
      <c r="H104" s="55"/>
      <c r="I104" s="57"/>
      <c r="J104" s="57"/>
      <c r="K104" s="55"/>
      <c r="L104" s="55" t="b">
        <v>0</v>
      </c>
      <c r="M104" s="55" t="b">
        <v>0</v>
      </c>
      <c r="N104" s="55"/>
    </row>
    <row r="105">
      <c r="A105" s="60"/>
      <c r="B105" s="60"/>
      <c r="C105" s="60"/>
      <c r="D105" s="60"/>
      <c r="E105" s="60"/>
      <c r="F105" s="60"/>
      <c r="G105" s="60"/>
      <c r="H105" s="60"/>
      <c r="I105" s="61"/>
      <c r="J105" s="61"/>
      <c r="K105" s="60"/>
      <c r="L105" s="60" t="b">
        <v>0</v>
      </c>
      <c r="M105" s="60" t="b">
        <v>0</v>
      </c>
      <c r="N105" s="60"/>
    </row>
    <row r="106">
      <c r="A106" s="55"/>
      <c r="B106" s="55"/>
      <c r="C106" s="55"/>
      <c r="D106" s="55"/>
      <c r="E106" s="55"/>
      <c r="F106" s="55"/>
      <c r="G106" s="55"/>
      <c r="H106" s="55"/>
      <c r="I106" s="57"/>
      <c r="J106" s="57"/>
      <c r="K106" s="55"/>
      <c r="L106" s="55" t="b">
        <v>0</v>
      </c>
      <c r="M106" s="55" t="b">
        <v>0</v>
      </c>
      <c r="N106" s="55"/>
    </row>
    <row r="107">
      <c r="A107" s="60"/>
      <c r="B107" s="60"/>
      <c r="C107" s="60"/>
      <c r="D107" s="60"/>
      <c r="E107" s="60"/>
      <c r="F107" s="60"/>
      <c r="G107" s="60"/>
      <c r="H107" s="60"/>
      <c r="I107" s="61"/>
      <c r="J107" s="61"/>
      <c r="K107" s="60"/>
      <c r="L107" s="60" t="b">
        <v>0</v>
      </c>
      <c r="M107" s="60" t="b">
        <v>0</v>
      </c>
      <c r="N107" s="60"/>
    </row>
    <row r="108">
      <c r="A108" s="55"/>
      <c r="B108" s="55"/>
      <c r="C108" s="55"/>
      <c r="D108" s="55"/>
      <c r="E108" s="55"/>
      <c r="F108" s="55"/>
      <c r="G108" s="55"/>
      <c r="H108" s="55"/>
      <c r="I108" s="57"/>
      <c r="J108" s="57"/>
      <c r="K108" s="55"/>
      <c r="L108" s="55" t="b">
        <v>0</v>
      </c>
      <c r="M108" s="55" t="b">
        <v>0</v>
      </c>
      <c r="N108" s="55"/>
    </row>
    <row r="109">
      <c r="A109" s="60"/>
      <c r="B109" s="60"/>
      <c r="C109" s="60"/>
      <c r="D109" s="60"/>
      <c r="E109" s="60"/>
      <c r="F109" s="60"/>
      <c r="G109" s="60"/>
      <c r="H109" s="60"/>
      <c r="I109" s="61"/>
      <c r="J109" s="61"/>
      <c r="K109" s="60"/>
      <c r="L109" s="60" t="b">
        <v>0</v>
      </c>
      <c r="M109" s="60" t="b">
        <v>0</v>
      </c>
      <c r="N109" s="60"/>
    </row>
    <row r="110">
      <c r="A110" s="55"/>
      <c r="B110" s="55"/>
      <c r="C110" s="55"/>
      <c r="D110" s="55"/>
      <c r="E110" s="55"/>
      <c r="F110" s="55"/>
      <c r="G110" s="55"/>
      <c r="H110" s="55"/>
      <c r="I110" s="57"/>
      <c r="J110" s="57"/>
      <c r="K110" s="55"/>
      <c r="L110" s="55" t="b">
        <v>0</v>
      </c>
      <c r="M110" s="55" t="b">
        <v>0</v>
      </c>
      <c r="N110" s="55"/>
    </row>
    <row r="111">
      <c r="A111" s="60"/>
      <c r="B111" s="60"/>
      <c r="C111" s="60"/>
      <c r="D111" s="60"/>
      <c r="E111" s="60"/>
      <c r="F111" s="60"/>
      <c r="G111" s="60"/>
      <c r="H111" s="60"/>
      <c r="I111" s="61"/>
      <c r="J111" s="61"/>
      <c r="K111" s="60"/>
      <c r="L111" s="60" t="b">
        <v>0</v>
      </c>
      <c r="M111" s="60" t="b">
        <v>0</v>
      </c>
      <c r="N111" s="60"/>
    </row>
    <row r="112">
      <c r="A112" s="55"/>
      <c r="B112" s="55"/>
      <c r="C112" s="55"/>
      <c r="D112" s="55"/>
      <c r="E112" s="55"/>
      <c r="F112" s="55"/>
      <c r="G112" s="55"/>
      <c r="H112" s="55"/>
      <c r="I112" s="57"/>
      <c r="J112" s="57"/>
      <c r="K112" s="55"/>
      <c r="L112" s="55" t="b">
        <v>0</v>
      </c>
      <c r="M112" s="55" t="b">
        <v>0</v>
      </c>
      <c r="N112" s="55"/>
    </row>
    <row r="113">
      <c r="A113" s="60"/>
      <c r="B113" s="60"/>
      <c r="C113" s="60"/>
      <c r="D113" s="60"/>
      <c r="E113" s="60"/>
      <c r="F113" s="60"/>
      <c r="G113" s="60"/>
      <c r="H113" s="60"/>
      <c r="I113" s="61"/>
      <c r="J113" s="61"/>
      <c r="K113" s="60"/>
      <c r="L113" s="60" t="b">
        <v>0</v>
      </c>
      <c r="M113" s="60" t="b">
        <v>0</v>
      </c>
      <c r="N113" s="60"/>
    </row>
    <row r="114">
      <c r="A114" s="55"/>
      <c r="B114" s="55"/>
      <c r="C114" s="55"/>
      <c r="D114" s="55"/>
      <c r="E114" s="55"/>
      <c r="F114" s="55"/>
      <c r="G114" s="55"/>
      <c r="H114" s="55"/>
      <c r="I114" s="57"/>
      <c r="J114" s="57"/>
      <c r="K114" s="55"/>
      <c r="L114" s="55" t="b">
        <v>0</v>
      </c>
      <c r="M114" s="55" t="b">
        <v>0</v>
      </c>
      <c r="N114" s="55"/>
    </row>
    <row r="115">
      <c r="A115" s="60"/>
      <c r="B115" s="60"/>
      <c r="C115" s="60"/>
      <c r="D115" s="60"/>
      <c r="E115" s="60"/>
      <c r="F115" s="60"/>
      <c r="G115" s="60"/>
      <c r="H115" s="60"/>
      <c r="I115" s="61"/>
      <c r="J115" s="61"/>
      <c r="K115" s="60"/>
      <c r="L115" s="60" t="b">
        <v>0</v>
      </c>
      <c r="M115" s="60" t="b">
        <v>0</v>
      </c>
      <c r="N115" s="60"/>
    </row>
    <row r="116">
      <c r="A116" s="55"/>
      <c r="B116" s="55"/>
      <c r="C116" s="55"/>
      <c r="D116" s="55"/>
      <c r="E116" s="55"/>
      <c r="F116" s="55"/>
      <c r="G116" s="55"/>
      <c r="H116" s="55"/>
      <c r="I116" s="57"/>
      <c r="J116" s="57"/>
      <c r="K116" s="55"/>
      <c r="L116" s="55" t="b">
        <v>0</v>
      </c>
      <c r="M116" s="55" t="b">
        <v>0</v>
      </c>
      <c r="N116" s="55"/>
    </row>
    <row r="117">
      <c r="A117" s="60"/>
      <c r="B117" s="60"/>
      <c r="C117" s="60"/>
      <c r="D117" s="60"/>
      <c r="E117" s="60"/>
      <c r="F117" s="60"/>
      <c r="G117" s="60"/>
      <c r="H117" s="60"/>
      <c r="I117" s="61"/>
      <c r="J117" s="61"/>
      <c r="K117" s="60"/>
      <c r="L117" s="60" t="b">
        <v>0</v>
      </c>
      <c r="M117" s="60" t="b">
        <v>0</v>
      </c>
      <c r="N117" s="60"/>
    </row>
    <row r="118">
      <c r="A118" s="55"/>
      <c r="B118" s="55"/>
      <c r="C118" s="55"/>
      <c r="D118" s="55"/>
      <c r="E118" s="55"/>
      <c r="F118" s="55"/>
      <c r="G118" s="55"/>
      <c r="H118" s="55"/>
      <c r="I118" s="57"/>
      <c r="J118" s="57"/>
      <c r="K118" s="55"/>
      <c r="L118" s="55" t="b">
        <v>0</v>
      </c>
      <c r="M118" s="55" t="b">
        <v>0</v>
      </c>
      <c r="N118" s="55"/>
    </row>
    <row r="119">
      <c r="A119" s="60"/>
      <c r="B119" s="60"/>
      <c r="C119" s="60"/>
      <c r="D119" s="60"/>
      <c r="E119" s="60"/>
      <c r="F119" s="60"/>
      <c r="G119" s="60"/>
      <c r="H119" s="60"/>
      <c r="I119" s="61"/>
      <c r="J119" s="61"/>
      <c r="K119" s="60"/>
      <c r="L119" s="60" t="b">
        <v>0</v>
      </c>
      <c r="M119" s="60" t="b">
        <v>0</v>
      </c>
      <c r="N119" s="60"/>
    </row>
    <row r="120">
      <c r="A120" s="55"/>
      <c r="B120" s="55"/>
      <c r="C120" s="55"/>
      <c r="D120" s="55"/>
      <c r="E120" s="55"/>
      <c r="F120" s="55"/>
      <c r="G120" s="55"/>
      <c r="H120" s="55"/>
      <c r="I120" s="57"/>
      <c r="J120" s="57"/>
      <c r="K120" s="55"/>
      <c r="L120" s="55" t="b">
        <v>0</v>
      </c>
      <c r="M120" s="55" t="b">
        <v>0</v>
      </c>
      <c r="N120" s="55"/>
    </row>
    <row r="121">
      <c r="A121" s="60"/>
      <c r="B121" s="60"/>
      <c r="C121" s="60"/>
      <c r="D121" s="60"/>
      <c r="E121" s="60"/>
      <c r="F121" s="60"/>
      <c r="G121" s="60"/>
      <c r="H121" s="60"/>
      <c r="I121" s="61"/>
      <c r="J121" s="61"/>
      <c r="K121" s="60"/>
      <c r="L121" s="60" t="b">
        <v>0</v>
      </c>
      <c r="M121" s="60" t="b">
        <v>0</v>
      </c>
      <c r="N121" s="60"/>
    </row>
    <row r="122">
      <c r="A122" s="55"/>
      <c r="B122" s="55"/>
      <c r="C122" s="55"/>
      <c r="D122" s="55"/>
      <c r="E122" s="55"/>
      <c r="F122" s="55"/>
      <c r="G122" s="55"/>
      <c r="H122" s="55"/>
      <c r="I122" s="57"/>
      <c r="J122" s="57"/>
      <c r="K122" s="55"/>
      <c r="L122" s="55" t="b">
        <v>0</v>
      </c>
      <c r="M122" s="55" t="b">
        <v>0</v>
      </c>
      <c r="N122" s="55"/>
    </row>
    <row r="123">
      <c r="A123" s="60"/>
      <c r="B123" s="60"/>
      <c r="C123" s="60"/>
      <c r="D123" s="60"/>
      <c r="E123" s="60"/>
      <c r="F123" s="60"/>
      <c r="G123" s="60"/>
      <c r="H123" s="60"/>
      <c r="I123" s="61"/>
      <c r="J123" s="61"/>
      <c r="K123" s="60"/>
      <c r="L123" s="60" t="b">
        <v>0</v>
      </c>
      <c r="M123" s="60" t="b">
        <v>0</v>
      </c>
      <c r="N123" s="60"/>
    </row>
    <row r="124">
      <c r="A124" s="55"/>
      <c r="B124" s="55"/>
      <c r="C124" s="55"/>
      <c r="D124" s="55"/>
      <c r="E124" s="55"/>
      <c r="F124" s="55"/>
      <c r="G124" s="55"/>
      <c r="H124" s="55"/>
      <c r="I124" s="57"/>
      <c r="J124" s="57"/>
      <c r="K124" s="55"/>
      <c r="L124" s="55" t="b">
        <v>0</v>
      </c>
      <c r="M124" s="55" t="b">
        <v>0</v>
      </c>
      <c r="N124" s="55"/>
    </row>
    <row r="125">
      <c r="A125" s="60"/>
      <c r="B125" s="60"/>
      <c r="C125" s="60"/>
      <c r="D125" s="60"/>
      <c r="E125" s="60"/>
      <c r="F125" s="60"/>
      <c r="G125" s="60"/>
      <c r="H125" s="60"/>
      <c r="I125" s="61"/>
      <c r="J125" s="61"/>
      <c r="K125" s="60"/>
      <c r="L125" s="60" t="b">
        <v>0</v>
      </c>
      <c r="M125" s="60" t="b">
        <v>0</v>
      </c>
      <c r="N125" s="60"/>
    </row>
    <row r="126">
      <c r="A126" s="55"/>
      <c r="B126" s="55"/>
      <c r="C126" s="55"/>
      <c r="D126" s="55"/>
      <c r="E126" s="55"/>
      <c r="F126" s="55"/>
      <c r="G126" s="55"/>
      <c r="H126" s="55"/>
      <c r="I126" s="57"/>
      <c r="J126" s="57"/>
      <c r="K126" s="55"/>
      <c r="L126" s="55" t="b">
        <v>0</v>
      </c>
      <c r="M126" s="55" t="b">
        <v>0</v>
      </c>
      <c r="N126" s="55"/>
    </row>
    <row r="127">
      <c r="A127" s="60"/>
      <c r="B127" s="60"/>
      <c r="C127" s="60"/>
      <c r="D127" s="60"/>
      <c r="E127" s="60"/>
      <c r="F127" s="60"/>
      <c r="G127" s="60"/>
      <c r="H127" s="60"/>
      <c r="I127" s="61"/>
      <c r="J127" s="61"/>
      <c r="K127" s="60"/>
      <c r="L127" s="60" t="b">
        <v>0</v>
      </c>
      <c r="M127" s="60" t="b">
        <v>0</v>
      </c>
      <c r="N127" s="60"/>
    </row>
    <row r="128">
      <c r="A128" s="55"/>
      <c r="B128" s="55"/>
      <c r="C128" s="55"/>
      <c r="D128" s="55"/>
      <c r="E128" s="55"/>
      <c r="F128" s="55"/>
      <c r="G128" s="55"/>
      <c r="H128" s="55"/>
      <c r="I128" s="57"/>
      <c r="J128" s="57"/>
      <c r="K128" s="55"/>
      <c r="L128" s="55" t="b">
        <v>0</v>
      </c>
      <c r="M128" s="55" t="b">
        <v>0</v>
      </c>
      <c r="N128" s="55"/>
    </row>
    <row r="129">
      <c r="A129" s="60"/>
      <c r="B129" s="60"/>
      <c r="C129" s="60"/>
      <c r="D129" s="60"/>
      <c r="E129" s="60"/>
      <c r="F129" s="60"/>
      <c r="G129" s="60"/>
      <c r="H129" s="60"/>
      <c r="I129" s="61"/>
      <c r="J129" s="61"/>
      <c r="K129" s="60"/>
      <c r="L129" s="60" t="b">
        <v>0</v>
      </c>
      <c r="M129" s="60" t="b">
        <v>0</v>
      </c>
      <c r="N129" s="60"/>
    </row>
    <row r="130">
      <c r="A130" s="55"/>
      <c r="B130" s="55"/>
      <c r="C130" s="55"/>
      <c r="D130" s="55"/>
      <c r="E130" s="55"/>
      <c r="F130" s="55"/>
      <c r="G130" s="55"/>
      <c r="H130" s="55"/>
      <c r="I130" s="57"/>
      <c r="J130" s="57"/>
      <c r="K130" s="55"/>
      <c r="L130" s="55" t="b">
        <v>0</v>
      </c>
      <c r="M130" s="55" t="b">
        <v>0</v>
      </c>
      <c r="N130" s="55"/>
    </row>
    <row r="131">
      <c r="A131" s="60"/>
      <c r="B131" s="60"/>
      <c r="C131" s="60"/>
      <c r="D131" s="60"/>
      <c r="E131" s="60"/>
      <c r="F131" s="60"/>
      <c r="G131" s="60"/>
      <c r="H131" s="60"/>
      <c r="I131" s="61"/>
      <c r="J131" s="61"/>
      <c r="K131" s="60"/>
      <c r="L131" s="60" t="b">
        <v>0</v>
      </c>
      <c r="M131" s="60" t="b">
        <v>0</v>
      </c>
      <c r="N131" s="60"/>
    </row>
    <row r="132">
      <c r="A132" s="55"/>
      <c r="B132" s="55"/>
      <c r="C132" s="55"/>
      <c r="D132" s="55"/>
      <c r="E132" s="55"/>
      <c r="F132" s="55"/>
      <c r="G132" s="55"/>
      <c r="H132" s="55"/>
      <c r="I132" s="57"/>
      <c r="J132" s="57"/>
      <c r="K132" s="55"/>
      <c r="L132" s="55" t="b">
        <v>0</v>
      </c>
      <c r="M132" s="55" t="b">
        <v>0</v>
      </c>
      <c r="N132" s="55"/>
    </row>
    <row r="133">
      <c r="A133" s="60"/>
      <c r="B133" s="60"/>
      <c r="C133" s="60"/>
      <c r="D133" s="60"/>
      <c r="E133" s="60"/>
      <c r="F133" s="60"/>
      <c r="G133" s="60"/>
      <c r="H133" s="60"/>
      <c r="I133" s="61"/>
      <c r="J133" s="61"/>
      <c r="K133" s="60"/>
      <c r="L133" s="60" t="b">
        <v>0</v>
      </c>
      <c r="M133" s="60" t="b">
        <v>0</v>
      </c>
      <c r="N133" s="60"/>
    </row>
    <row r="134">
      <c r="A134" s="55"/>
      <c r="B134" s="55"/>
      <c r="C134" s="55"/>
      <c r="D134" s="55"/>
      <c r="E134" s="55"/>
      <c r="F134" s="55"/>
      <c r="G134" s="55"/>
      <c r="H134" s="55"/>
      <c r="I134" s="57"/>
      <c r="J134" s="57"/>
      <c r="K134" s="55"/>
      <c r="L134" s="55" t="b">
        <v>0</v>
      </c>
      <c r="M134" s="55" t="b">
        <v>0</v>
      </c>
      <c r="N134" s="55"/>
    </row>
    <row r="135">
      <c r="A135" s="60"/>
      <c r="B135" s="60"/>
      <c r="C135" s="60"/>
      <c r="D135" s="60"/>
      <c r="E135" s="60"/>
      <c r="F135" s="60"/>
      <c r="G135" s="60"/>
      <c r="H135" s="60"/>
      <c r="I135" s="61"/>
      <c r="J135" s="61"/>
      <c r="K135" s="60"/>
      <c r="L135" s="60" t="b">
        <v>0</v>
      </c>
      <c r="M135" s="60" t="b">
        <v>0</v>
      </c>
      <c r="N135" s="60"/>
    </row>
    <row r="136">
      <c r="A136" s="55"/>
      <c r="B136" s="55"/>
      <c r="C136" s="55"/>
      <c r="D136" s="55"/>
      <c r="E136" s="55"/>
      <c r="F136" s="55"/>
      <c r="G136" s="55"/>
      <c r="H136" s="55"/>
      <c r="I136" s="57"/>
      <c r="J136" s="57"/>
      <c r="K136" s="55"/>
      <c r="L136" s="55" t="b">
        <v>0</v>
      </c>
      <c r="M136" s="55" t="b">
        <v>0</v>
      </c>
      <c r="N136" s="55"/>
    </row>
    <row r="137">
      <c r="A137" s="60"/>
      <c r="B137" s="60"/>
      <c r="C137" s="60"/>
      <c r="D137" s="60"/>
      <c r="E137" s="60"/>
      <c r="F137" s="60"/>
      <c r="G137" s="60"/>
      <c r="H137" s="60"/>
      <c r="I137" s="61"/>
      <c r="J137" s="61"/>
      <c r="K137" s="60"/>
      <c r="L137" s="60" t="b">
        <v>0</v>
      </c>
      <c r="M137" s="60" t="b">
        <v>0</v>
      </c>
      <c r="N137" s="60"/>
    </row>
    <row r="138">
      <c r="A138" s="55"/>
      <c r="B138" s="55"/>
      <c r="C138" s="55"/>
      <c r="D138" s="55"/>
      <c r="E138" s="55"/>
      <c r="F138" s="55"/>
      <c r="G138" s="55"/>
      <c r="H138" s="55"/>
      <c r="I138" s="57"/>
      <c r="J138" s="57"/>
      <c r="K138" s="55"/>
      <c r="L138" s="55" t="b">
        <v>0</v>
      </c>
      <c r="M138" s="55" t="b">
        <v>0</v>
      </c>
      <c r="N138" s="55"/>
    </row>
    <row r="139">
      <c r="A139" s="60"/>
      <c r="B139" s="60"/>
      <c r="C139" s="60"/>
      <c r="D139" s="60"/>
      <c r="E139" s="60"/>
      <c r="F139" s="60"/>
      <c r="G139" s="60"/>
      <c r="H139" s="60"/>
      <c r="I139" s="61"/>
      <c r="J139" s="61"/>
      <c r="K139" s="60"/>
      <c r="L139" s="60" t="b">
        <v>0</v>
      </c>
      <c r="M139" s="60" t="b">
        <v>0</v>
      </c>
      <c r="N139" s="60"/>
    </row>
    <row r="140">
      <c r="A140" s="55"/>
      <c r="B140" s="55"/>
      <c r="C140" s="55"/>
      <c r="D140" s="55"/>
      <c r="E140" s="55"/>
      <c r="F140" s="55"/>
      <c r="G140" s="55"/>
      <c r="H140" s="55"/>
      <c r="I140" s="57"/>
      <c r="J140" s="57"/>
      <c r="K140" s="55"/>
      <c r="L140" s="55" t="b">
        <v>0</v>
      </c>
      <c r="M140" s="55" t="b">
        <v>0</v>
      </c>
      <c r="N140" s="55"/>
    </row>
    <row r="141">
      <c r="A141" s="60"/>
      <c r="B141" s="60"/>
      <c r="C141" s="60"/>
      <c r="D141" s="60"/>
      <c r="E141" s="60"/>
      <c r="F141" s="60"/>
      <c r="G141" s="60"/>
      <c r="H141" s="60"/>
      <c r="I141" s="61"/>
      <c r="J141" s="61"/>
      <c r="K141" s="60"/>
      <c r="L141" s="60" t="b">
        <v>0</v>
      </c>
      <c r="M141" s="60" t="b">
        <v>0</v>
      </c>
      <c r="N141" s="60"/>
    </row>
    <row r="142">
      <c r="A142" s="55"/>
      <c r="B142" s="55"/>
      <c r="C142" s="55"/>
      <c r="D142" s="55"/>
      <c r="E142" s="55"/>
      <c r="F142" s="55"/>
      <c r="G142" s="55"/>
      <c r="H142" s="55"/>
      <c r="I142" s="57"/>
      <c r="J142" s="57"/>
      <c r="K142" s="55"/>
      <c r="L142" s="55" t="b">
        <v>0</v>
      </c>
      <c r="M142" s="55" t="b">
        <v>0</v>
      </c>
      <c r="N142" s="55"/>
    </row>
    <row r="143">
      <c r="A143" s="60"/>
      <c r="B143" s="60"/>
      <c r="C143" s="60"/>
      <c r="D143" s="60"/>
      <c r="E143" s="60"/>
      <c r="F143" s="60"/>
      <c r="G143" s="60"/>
      <c r="H143" s="60"/>
      <c r="I143" s="61"/>
      <c r="J143" s="61"/>
      <c r="K143" s="60"/>
      <c r="L143" s="60" t="b">
        <v>0</v>
      </c>
      <c r="M143" s="60" t="b">
        <v>0</v>
      </c>
      <c r="N143" s="60"/>
    </row>
    <row r="144">
      <c r="A144" s="55"/>
      <c r="B144" s="55"/>
      <c r="C144" s="55"/>
      <c r="D144" s="55"/>
      <c r="E144" s="55"/>
      <c r="F144" s="55"/>
      <c r="G144" s="55"/>
      <c r="H144" s="55"/>
      <c r="I144" s="57"/>
      <c r="J144" s="57"/>
      <c r="K144" s="55"/>
      <c r="L144" s="55" t="b">
        <v>0</v>
      </c>
      <c r="M144" s="55" t="b">
        <v>0</v>
      </c>
      <c r="N144" s="55"/>
    </row>
    <row r="145">
      <c r="A145" s="60"/>
      <c r="B145" s="60"/>
      <c r="C145" s="60"/>
      <c r="D145" s="60"/>
      <c r="E145" s="60"/>
      <c r="F145" s="60"/>
      <c r="G145" s="60"/>
      <c r="H145" s="60"/>
      <c r="I145" s="61"/>
      <c r="J145" s="61"/>
      <c r="K145" s="60"/>
      <c r="L145" s="60" t="b">
        <v>0</v>
      </c>
      <c r="M145" s="60" t="b">
        <v>0</v>
      </c>
      <c r="N145" s="60"/>
    </row>
    <row r="146">
      <c r="A146" s="55"/>
      <c r="B146" s="55"/>
      <c r="C146" s="55"/>
      <c r="D146" s="55"/>
      <c r="E146" s="55"/>
      <c r="F146" s="55"/>
      <c r="G146" s="55"/>
      <c r="H146" s="55"/>
      <c r="I146" s="57"/>
      <c r="J146" s="57"/>
      <c r="K146" s="55"/>
      <c r="L146" s="55" t="b">
        <v>0</v>
      </c>
      <c r="M146" s="55" t="b">
        <v>0</v>
      </c>
      <c r="N146" s="55"/>
    </row>
    <row r="147">
      <c r="A147" s="60"/>
      <c r="B147" s="60"/>
      <c r="C147" s="60"/>
      <c r="D147" s="60"/>
      <c r="E147" s="60"/>
      <c r="F147" s="60"/>
      <c r="G147" s="60"/>
      <c r="H147" s="60"/>
      <c r="I147" s="61"/>
      <c r="J147" s="61"/>
      <c r="K147" s="60"/>
      <c r="L147" s="60" t="b">
        <v>0</v>
      </c>
      <c r="M147" s="60" t="b">
        <v>0</v>
      </c>
      <c r="N147" s="60"/>
    </row>
    <row r="148">
      <c r="A148" s="55"/>
      <c r="B148" s="55"/>
      <c r="C148" s="55"/>
      <c r="D148" s="55"/>
      <c r="E148" s="55"/>
      <c r="F148" s="55"/>
      <c r="G148" s="55"/>
      <c r="H148" s="55"/>
      <c r="I148" s="57"/>
      <c r="J148" s="57"/>
      <c r="K148" s="55"/>
      <c r="L148" s="55" t="b">
        <v>0</v>
      </c>
      <c r="M148" s="55" t="b">
        <v>0</v>
      </c>
      <c r="N148" s="55"/>
    </row>
    <row r="149">
      <c r="A149" s="60"/>
      <c r="B149" s="60"/>
      <c r="C149" s="60"/>
      <c r="D149" s="60"/>
      <c r="E149" s="60"/>
      <c r="F149" s="60"/>
      <c r="G149" s="60"/>
      <c r="H149" s="60"/>
      <c r="I149" s="61"/>
      <c r="J149" s="61"/>
      <c r="K149" s="60"/>
      <c r="L149" s="60" t="b">
        <v>0</v>
      </c>
      <c r="M149" s="60" t="b">
        <v>0</v>
      </c>
      <c r="N149" s="60"/>
    </row>
    <row r="150">
      <c r="A150" s="55"/>
      <c r="B150" s="55"/>
      <c r="C150" s="55"/>
      <c r="D150" s="55"/>
      <c r="E150" s="55"/>
      <c r="F150" s="55"/>
      <c r="G150" s="55"/>
      <c r="H150" s="55"/>
      <c r="I150" s="57"/>
      <c r="J150" s="57"/>
      <c r="K150" s="55"/>
      <c r="L150" s="55" t="b">
        <v>0</v>
      </c>
      <c r="M150" s="55" t="b">
        <v>0</v>
      </c>
      <c r="N150" s="55"/>
    </row>
    <row r="151">
      <c r="A151" s="60"/>
      <c r="B151" s="60"/>
      <c r="C151" s="60"/>
      <c r="D151" s="60"/>
      <c r="E151" s="60"/>
      <c r="F151" s="60"/>
      <c r="G151" s="60"/>
      <c r="H151" s="60"/>
      <c r="I151" s="61"/>
      <c r="J151" s="61"/>
      <c r="K151" s="60"/>
      <c r="L151" s="60" t="b">
        <v>0</v>
      </c>
      <c r="M151" s="60" t="b">
        <v>0</v>
      </c>
      <c r="N151" s="60"/>
    </row>
    <row r="152">
      <c r="A152" s="55"/>
      <c r="B152" s="55"/>
      <c r="C152" s="55"/>
      <c r="D152" s="55"/>
      <c r="E152" s="55"/>
      <c r="F152" s="55"/>
      <c r="G152" s="55"/>
      <c r="H152" s="55"/>
      <c r="I152" s="57"/>
      <c r="J152" s="57"/>
      <c r="K152" s="55"/>
      <c r="L152" s="55" t="b">
        <v>0</v>
      </c>
      <c r="M152" s="55" t="b">
        <v>0</v>
      </c>
      <c r="N152" s="55"/>
    </row>
    <row r="153">
      <c r="A153" s="60"/>
      <c r="B153" s="60"/>
      <c r="C153" s="60"/>
      <c r="D153" s="60"/>
      <c r="E153" s="60"/>
      <c r="F153" s="60"/>
      <c r="G153" s="60"/>
      <c r="H153" s="60"/>
      <c r="I153" s="61"/>
      <c r="J153" s="61"/>
      <c r="K153" s="60"/>
      <c r="L153" s="60" t="b">
        <v>0</v>
      </c>
      <c r="M153" s="60" t="b">
        <v>0</v>
      </c>
      <c r="N153" s="60"/>
    </row>
    <row r="154">
      <c r="A154" s="55"/>
      <c r="B154" s="55"/>
      <c r="C154" s="55"/>
      <c r="D154" s="55"/>
      <c r="E154" s="55"/>
      <c r="F154" s="55"/>
      <c r="G154" s="55"/>
      <c r="H154" s="55"/>
      <c r="I154" s="57"/>
      <c r="J154" s="57"/>
      <c r="K154" s="55"/>
      <c r="L154" s="55" t="b">
        <v>0</v>
      </c>
      <c r="M154" s="55" t="b">
        <v>0</v>
      </c>
      <c r="N154" s="55"/>
    </row>
    <row r="155">
      <c r="A155" s="60"/>
      <c r="B155" s="60"/>
      <c r="C155" s="60"/>
      <c r="D155" s="60"/>
      <c r="E155" s="60"/>
      <c r="F155" s="60"/>
      <c r="G155" s="60"/>
      <c r="H155" s="60"/>
      <c r="I155" s="61"/>
      <c r="J155" s="61"/>
      <c r="K155" s="60"/>
      <c r="L155" s="60" t="b">
        <v>0</v>
      </c>
      <c r="M155" s="60" t="b">
        <v>0</v>
      </c>
      <c r="N155" s="60"/>
    </row>
    <row r="156">
      <c r="A156" s="55"/>
      <c r="B156" s="55"/>
      <c r="C156" s="55"/>
      <c r="D156" s="55"/>
      <c r="E156" s="55"/>
      <c r="F156" s="55"/>
      <c r="G156" s="55"/>
      <c r="H156" s="55"/>
      <c r="I156" s="57"/>
      <c r="J156" s="57"/>
      <c r="K156" s="55"/>
      <c r="L156" s="55" t="b">
        <v>0</v>
      </c>
      <c r="M156" s="55" t="b">
        <v>0</v>
      </c>
      <c r="N156" s="55"/>
    </row>
    <row r="157">
      <c r="A157" s="60"/>
      <c r="B157" s="60"/>
      <c r="C157" s="60"/>
      <c r="D157" s="60"/>
      <c r="E157" s="60"/>
      <c r="F157" s="60"/>
      <c r="G157" s="60"/>
      <c r="H157" s="60"/>
      <c r="I157" s="61"/>
      <c r="J157" s="61"/>
      <c r="K157" s="60"/>
      <c r="L157" s="60" t="b">
        <v>0</v>
      </c>
      <c r="M157" s="60" t="b">
        <v>0</v>
      </c>
      <c r="N157" s="60"/>
    </row>
    <row r="158">
      <c r="A158" s="55"/>
      <c r="B158" s="55"/>
      <c r="C158" s="55"/>
      <c r="D158" s="55"/>
      <c r="E158" s="55"/>
      <c r="F158" s="55"/>
      <c r="G158" s="55"/>
      <c r="H158" s="55"/>
      <c r="I158" s="57"/>
      <c r="J158" s="57"/>
      <c r="K158" s="55"/>
      <c r="L158" s="55" t="b">
        <v>0</v>
      </c>
      <c r="M158" s="55" t="b">
        <v>0</v>
      </c>
      <c r="N158" s="55"/>
    </row>
    <row r="159">
      <c r="A159" s="60"/>
      <c r="B159" s="60"/>
      <c r="C159" s="60"/>
      <c r="D159" s="60"/>
      <c r="E159" s="60"/>
      <c r="F159" s="60"/>
      <c r="G159" s="60"/>
      <c r="H159" s="60"/>
      <c r="I159" s="61"/>
      <c r="J159" s="61"/>
      <c r="K159" s="60"/>
      <c r="L159" s="60" t="b">
        <v>0</v>
      </c>
      <c r="M159" s="60" t="b">
        <v>0</v>
      </c>
      <c r="N159" s="60"/>
    </row>
    <row r="160">
      <c r="A160" s="55"/>
      <c r="B160" s="55"/>
      <c r="C160" s="55"/>
      <c r="D160" s="55"/>
      <c r="E160" s="55"/>
      <c r="F160" s="55"/>
      <c r="G160" s="55"/>
      <c r="H160" s="55"/>
      <c r="I160" s="57"/>
      <c r="J160" s="57"/>
      <c r="K160" s="55"/>
      <c r="L160" s="55" t="b">
        <v>0</v>
      </c>
      <c r="M160" s="55" t="b">
        <v>0</v>
      </c>
      <c r="N160" s="55"/>
    </row>
    <row r="161">
      <c r="A161" s="60"/>
      <c r="B161" s="60"/>
      <c r="C161" s="60"/>
      <c r="D161" s="60"/>
      <c r="E161" s="60"/>
      <c r="F161" s="60"/>
      <c r="G161" s="60"/>
      <c r="H161" s="60"/>
      <c r="I161" s="61"/>
      <c r="J161" s="61"/>
      <c r="K161" s="60"/>
      <c r="L161" s="60" t="b">
        <v>0</v>
      </c>
      <c r="M161" s="60" t="b">
        <v>0</v>
      </c>
      <c r="N161" s="60"/>
    </row>
    <row r="162">
      <c r="A162" s="55"/>
      <c r="B162" s="55"/>
      <c r="C162" s="55"/>
      <c r="D162" s="55"/>
      <c r="E162" s="55"/>
      <c r="F162" s="55"/>
      <c r="G162" s="55"/>
      <c r="H162" s="55"/>
      <c r="I162" s="57"/>
      <c r="J162" s="57"/>
      <c r="K162" s="55"/>
      <c r="L162" s="55" t="b">
        <v>0</v>
      </c>
      <c r="M162" s="55" t="b">
        <v>0</v>
      </c>
      <c r="N162" s="55"/>
    </row>
    <row r="163">
      <c r="A163" s="60"/>
      <c r="B163" s="60"/>
      <c r="C163" s="60"/>
      <c r="D163" s="60"/>
      <c r="E163" s="60"/>
      <c r="F163" s="60"/>
      <c r="G163" s="60"/>
      <c r="H163" s="60"/>
      <c r="I163" s="61"/>
      <c r="J163" s="61"/>
      <c r="K163" s="60"/>
      <c r="L163" s="60" t="b">
        <v>0</v>
      </c>
      <c r="M163" s="60" t="b">
        <v>0</v>
      </c>
      <c r="N163" s="60"/>
    </row>
    <row r="164">
      <c r="A164" s="55"/>
      <c r="B164" s="55"/>
      <c r="C164" s="55"/>
      <c r="D164" s="55"/>
      <c r="E164" s="55"/>
      <c r="F164" s="55"/>
      <c r="G164" s="55"/>
      <c r="H164" s="55"/>
      <c r="I164" s="57"/>
      <c r="J164" s="57"/>
      <c r="K164" s="55"/>
      <c r="L164" s="55" t="b">
        <v>0</v>
      </c>
      <c r="M164" s="55" t="b">
        <v>0</v>
      </c>
      <c r="N164" s="55"/>
    </row>
    <row r="165">
      <c r="A165" s="60"/>
      <c r="B165" s="60"/>
      <c r="C165" s="60"/>
      <c r="D165" s="60"/>
      <c r="E165" s="60"/>
      <c r="F165" s="60"/>
      <c r="G165" s="60"/>
      <c r="H165" s="60"/>
      <c r="I165" s="61"/>
      <c r="J165" s="61"/>
      <c r="K165" s="60"/>
      <c r="L165" s="60" t="b">
        <v>0</v>
      </c>
      <c r="M165" s="60" t="b">
        <v>0</v>
      </c>
      <c r="N165" s="60"/>
    </row>
    <row r="166">
      <c r="A166" s="55"/>
      <c r="B166" s="55"/>
      <c r="C166" s="55"/>
      <c r="D166" s="55"/>
      <c r="E166" s="55"/>
      <c r="F166" s="55"/>
      <c r="G166" s="55"/>
      <c r="H166" s="55"/>
      <c r="I166" s="57"/>
      <c r="J166" s="57"/>
      <c r="K166" s="55"/>
      <c r="L166" s="55" t="b">
        <v>0</v>
      </c>
      <c r="M166" s="55" t="b">
        <v>0</v>
      </c>
      <c r="N166" s="55"/>
    </row>
    <row r="167">
      <c r="A167" s="60"/>
      <c r="B167" s="60"/>
      <c r="C167" s="60"/>
      <c r="D167" s="60"/>
      <c r="E167" s="60"/>
      <c r="F167" s="60"/>
      <c r="G167" s="60"/>
      <c r="H167" s="60"/>
      <c r="I167" s="61"/>
      <c r="J167" s="61"/>
      <c r="K167" s="60"/>
      <c r="L167" s="60" t="b">
        <v>0</v>
      </c>
      <c r="M167" s="60" t="b">
        <v>0</v>
      </c>
      <c r="N167" s="60"/>
    </row>
    <row r="168">
      <c r="A168" s="55"/>
      <c r="B168" s="55"/>
      <c r="C168" s="55"/>
      <c r="D168" s="55"/>
      <c r="E168" s="55"/>
      <c r="F168" s="55"/>
      <c r="G168" s="55"/>
      <c r="H168" s="55"/>
      <c r="I168" s="57"/>
      <c r="J168" s="57"/>
      <c r="K168" s="55"/>
      <c r="L168" s="55" t="b">
        <v>0</v>
      </c>
      <c r="M168" s="55" t="b">
        <v>0</v>
      </c>
      <c r="N168" s="55"/>
    </row>
    <row r="169">
      <c r="A169" s="60"/>
      <c r="B169" s="60"/>
      <c r="C169" s="60"/>
      <c r="D169" s="60"/>
      <c r="E169" s="60"/>
      <c r="F169" s="60"/>
      <c r="G169" s="60"/>
      <c r="H169" s="60"/>
      <c r="I169" s="61"/>
      <c r="J169" s="61"/>
      <c r="K169" s="60"/>
      <c r="L169" s="60" t="b">
        <v>0</v>
      </c>
      <c r="M169" s="60" t="b">
        <v>0</v>
      </c>
      <c r="N169" s="60"/>
    </row>
    <row r="170">
      <c r="A170" s="55"/>
      <c r="B170" s="55"/>
      <c r="C170" s="55"/>
      <c r="D170" s="55"/>
      <c r="E170" s="55"/>
      <c r="F170" s="55"/>
      <c r="G170" s="55"/>
      <c r="H170" s="55"/>
      <c r="I170" s="57"/>
      <c r="J170" s="57"/>
      <c r="K170" s="55"/>
      <c r="L170" s="55" t="b">
        <v>0</v>
      </c>
      <c r="M170" s="55" t="b">
        <v>0</v>
      </c>
      <c r="N170" s="55"/>
    </row>
    <row r="171">
      <c r="A171" s="60"/>
      <c r="B171" s="60"/>
      <c r="C171" s="60"/>
      <c r="D171" s="60"/>
      <c r="E171" s="60"/>
      <c r="F171" s="60"/>
      <c r="G171" s="60"/>
      <c r="H171" s="60"/>
      <c r="I171" s="61"/>
      <c r="J171" s="61"/>
      <c r="K171" s="60"/>
      <c r="L171" s="60" t="b">
        <v>0</v>
      </c>
      <c r="M171" s="60" t="b">
        <v>0</v>
      </c>
      <c r="N171" s="60"/>
    </row>
    <row r="172">
      <c r="A172" s="55"/>
      <c r="B172" s="55"/>
      <c r="C172" s="55"/>
      <c r="D172" s="55"/>
      <c r="E172" s="55"/>
      <c r="F172" s="55"/>
      <c r="G172" s="55"/>
      <c r="H172" s="55"/>
      <c r="I172" s="57"/>
      <c r="J172" s="57"/>
      <c r="K172" s="55"/>
      <c r="L172" s="55" t="b">
        <v>0</v>
      </c>
      <c r="M172" s="55" t="b">
        <v>0</v>
      </c>
      <c r="N172" s="55"/>
    </row>
    <row r="173">
      <c r="A173" s="60"/>
      <c r="B173" s="60"/>
      <c r="C173" s="60"/>
      <c r="D173" s="60"/>
      <c r="E173" s="60"/>
      <c r="F173" s="60"/>
      <c r="G173" s="60"/>
      <c r="H173" s="60"/>
      <c r="I173" s="61"/>
      <c r="J173" s="61"/>
      <c r="K173" s="60"/>
      <c r="L173" s="60" t="b">
        <v>0</v>
      </c>
      <c r="M173" s="60" t="b">
        <v>0</v>
      </c>
      <c r="N173" s="60"/>
    </row>
    <row r="174">
      <c r="A174" s="55"/>
      <c r="B174" s="55"/>
      <c r="C174" s="55"/>
      <c r="D174" s="55"/>
      <c r="E174" s="55"/>
      <c r="F174" s="55"/>
      <c r="G174" s="55"/>
      <c r="H174" s="55"/>
      <c r="I174" s="57"/>
      <c r="J174" s="57"/>
      <c r="K174" s="55"/>
      <c r="L174" s="55" t="b">
        <v>0</v>
      </c>
      <c r="M174" s="55" t="b">
        <v>0</v>
      </c>
      <c r="N174" s="55"/>
    </row>
    <row r="175">
      <c r="A175" s="60"/>
      <c r="B175" s="60"/>
      <c r="C175" s="60"/>
      <c r="D175" s="60"/>
      <c r="E175" s="60"/>
      <c r="F175" s="60"/>
      <c r="G175" s="60"/>
      <c r="H175" s="60"/>
      <c r="I175" s="61"/>
      <c r="J175" s="61"/>
      <c r="K175" s="60"/>
      <c r="L175" s="60" t="b">
        <v>0</v>
      </c>
      <c r="M175" s="60" t="b">
        <v>0</v>
      </c>
      <c r="N175" s="60"/>
    </row>
    <row r="176">
      <c r="A176" s="55"/>
      <c r="B176" s="55"/>
      <c r="C176" s="55"/>
      <c r="D176" s="55"/>
      <c r="E176" s="55"/>
      <c r="F176" s="55"/>
      <c r="G176" s="55"/>
      <c r="H176" s="55"/>
      <c r="I176" s="57"/>
      <c r="J176" s="57"/>
      <c r="K176" s="55"/>
      <c r="L176" s="55" t="b">
        <v>0</v>
      </c>
      <c r="M176" s="55" t="b">
        <v>0</v>
      </c>
      <c r="N176" s="55"/>
    </row>
    <row r="177">
      <c r="A177" s="60"/>
      <c r="B177" s="60"/>
      <c r="C177" s="60"/>
      <c r="D177" s="60"/>
      <c r="E177" s="60"/>
      <c r="F177" s="60"/>
      <c r="G177" s="60"/>
      <c r="H177" s="60"/>
      <c r="I177" s="61"/>
      <c r="J177" s="61"/>
      <c r="K177" s="60"/>
      <c r="L177" s="60" t="b">
        <v>0</v>
      </c>
      <c r="M177" s="60" t="b">
        <v>0</v>
      </c>
      <c r="N177" s="60"/>
    </row>
    <row r="178">
      <c r="A178" s="55"/>
      <c r="B178" s="55"/>
      <c r="C178" s="55"/>
      <c r="D178" s="55"/>
      <c r="E178" s="55"/>
      <c r="F178" s="55"/>
      <c r="G178" s="55"/>
      <c r="H178" s="55"/>
      <c r="I178" s="57"/>
      <c r="J178" s="57"/>
      <c r="K178" s="55"/>
      <c r="L178" s="55" t="b">
        <v>0</v>
      </c>
      <c r="M178" s="55" t="b">
        <v>0</v>
      </c>
      <c r="N178" s="55"/>
    </row>
    <row r="179">
      <c r="A179" s="60"/>
      <c r="B179" s="60"/>
      <c r="C179" s="60"/>
      <c r="D179" s="60"/>
      <c r="E179" s="60"/>
      <c r="F179" s="60"/>
      <c r="G179" s="60"/>
      <c r="H179" s="60"/>
      <c r="I179" s="61"/>
      <c r="J179" s="61"/>
      <c r="K179" s="60"/>
      <c r="L179" s="60" t="b">
        <v>0</v>
      </c>
      <c r="M179" s="60" t="b">
        <v>0</v>
      </c>
      <c r="N179" s="60"/>
    </row>
    <row r="180">
      <c r="A180" s="55"/>
      <c r="B180" s="55"/>
      <c r="C180" s="55"/>
      <c r="D180" s="55"/>
      <c r="E180" s="55"/>
      <c r="F180" s="55"/>
      <c r="G180" s="55"/>
      <c r="H180" s="55"/>
      <c r="I180" s="57"/>
      <c r="J180" s="57"/>
      <c r="K180" s="55"/>
      <c r="L180" s="55" t="b">
        <v>0</v>
      </c>
      <c r="M180" s="55" t="b">
        <v>0</v>
      </c>
      <c r="N180" s="55"/>
    </row>
    <row r="181">
      <c r="A181" s="60"/>
      <c r="B181" s="60"/>
      <c r="C181" s="60"/>
      <c r="D181" s="60"/>
      <c r="E181" s="60"/>
      <c r="F181" s="60"/>
      <c r="G181" s="60"/>
      <c r="H181" s="60"/>
      <c r="I181" s="61"/>
      <c r="J181" s="61"/>
      <c r="K181" s="60"/>
      <c r="L181" s="60" t="b">
        <v>0</v>
      </c>
      <c r="M181" s="60" t="b">
        <v>0</v>
      </c>
      <c r="N181" s="60"/>
    </row>
    <row r="182">
      <c r="A182" s="55"/>
      <c r="B182" s="55"/>
      <c r="C182" s="55"/>
      <c r="D182" s="55"/>
      <c r="E182" s="55"/>
      <c r="F182" s="55"/>
      <c r="G182" s="55"/>
      <c r="H182" s="55"/>
      <c r="I182" s="57"/>
      <c r="J182" s="57"/>
      <c r="K182" s="55"/>
      <c r="L182" s="55" t="b">
        <v>0</v>
      </c>
      <c r="M182" s="55" t="b">
        <v>0</v>
      </c>
      <c r="N182" s="55"/>
    </row>
    <row r="183">
      <c r="A183" s="60"/>
      <c r="B183" s="60"/>
      <c r="C183" s="60"/>
      <c r="D183" s="60"/>
      <c r="E183" s="60"/>
      <c r="F183" s="60"/>
      <c r="G183" s="60"/>
      <c r="H183" s="60"/>
      <c r="I183" s="61"/>
      <c r="J183" s="61"/>
      <c r="K183" s="60"/>
      <c r="L183" s="60" t="b">
        <v>0</v>
      </c>
      <c r="M183" s="60" t="b">
        <v>0</v>
      </c>
      <c r="N183" s="60"/>
    </row>
    <row r="184">
      <c r="A184" s="55"/>
      <c r="B184" s="55"/>
      <c r="C184" s="55"/>
      <c r="D184" s="55"/>
      <c r="E184" s="55"/>
      <c r="F184" s="55"/>
      <c r="G184" s="55"/>
      <c r="H184" s="55"/>
      <c r="I184" s="57"/>
      <c r="J184" s="57"/>
      <c r="K184" s="55"/>
      <c r="L184" s="55" t="b">
        <v>0</v>
      </c>
      <c r="M184" s="55" t="b">
        <v>0</v>
      </c>
      <c r="N184" s="55"/>
    </row>
    <row r="185">
      <c r="A185" s="60"/>
      <c r="B185" s="60"/>
      <c r="C185" s="60"/>
      <c r="D185" s="60"/>
      <c r="E185" s="60"/>
      <c r="F185" s="60"/>
      <c r="G185" s="60"/>
      <c r="H185" s="60"/>
      <c r="I185" s="61"/>
      <c r="J185" s="61"/>
      <c r="K185" s="60"/>
      <c r="L185" s="60" t="b">
        <v>0</v>
      </c>
      <c r="M185" s="60" t="b">
        <v>0</v>
      </c>
      <c r="N185" s="60"/>
    </row>
    <row r="186">
      <c r="A186" s="55"/>
      <c r="B186" s="55"/>
      <c r="C186" s="55"/>
      <c r="D186" s="55"/>
      <c r="E186" s="55"/>
      <c r="F186" s="55"/>
      <c r="G186" s="55"/>
      <c r="H186" s="55"/>
      <c r="I186" s="57"/>
      <c r="J186" s="57"/>
      <c r="K186" s="55"/>
      <c r="L186" s="55" t="b">
        <v>0</v>
      </c>
      <c r="M186" s="55" t="b">
        <v>0</v>
      </c>
      <c r="N186" s="55"/>
    </row>
    <row r="187">
      <c r="A187" s="60"/>
      <c r="B187" s="60"/>
      <c r="C187" s="60"/>
      <c r="D187" s="60"/>
      <c r="E187" s="60"/>
      <c r="F187" s="60"/>
      <c r="G187" s="60"/>
      <c r="H187" s="60"/>
      <c r="I187" s="61"/>
      <c r="J187" s="61"/>
      <c r="K187" s="60"/>
      <c r="L187" s="60" t="b">
        <v>0</v>
      </c>
      <c r="M187" s="60" t="b">
        <v>0</v>
      </c>
      <c r="N187" s="60"/>
    </row>
    <row r="188">
      <c r="A188" s="55"/>
      <c r="B188" s="55"/>
      <c r="C188" s="55"/>
      <c r="D188" s="55"/>
      <c r="E188" s="55"/>
      <c r="F188" s="55"/>
      <c r="G188" s="55"/>
      <c r="H188" s="55"/>
      <c r="I188" s="57"/>
      <c r="J188" s="57"/>
      <c r="K188" s="55"/>
      <c r="L188" s="55" t="b">
        <v>0</v>
      </c>
      <c r="M188" s="55" t="b">
        <v>0</v>
      </c>
      <c r="N188" s="55"/>
    </row>
    <row r="189">
      <c r="A189" s="60"/>
      <c r="B189" s="60"/>
      <c r="C189" s="60"/>
      <c r="D189" s="60"/>
      <c r="E189" s="60"/>
      <c r="F189" s="60"/>
      <c r="G189" s="60"/>
      <c r="H189" s="60"/>
      <c r="I189" s="61"/>
      <c r="J189" s="61"/>
      <c r="K189" s="60"/>
      <c r="L189" s="60" t="b">
        <v>0</v>
      </c>
      <c r="M189" s="60" t="b">
        <v>0</v>
      </c>
      <c r="N189" s="60"/>
    </row>
    <row r="190">
      <c r="A190" s="55"/>
      <c r="B190" s="55"/>
      <c r="C190" s="55"/>
      <c r="D190" s="55"/>
      <c r="E190" s="55"/>
      <c r="F190" s="55"/>
      <c r="G190" s="55"/>
      <c r="H190" s="55"/>
      <c r="I190" s="57"/>
      <c r="J190" s="57"/>
      <c r="K190" s="55"/>
      <c r="L190" s="55" t="b">
        <v>0</v>
      </c>
      <c r="M190" s="55" t="b">
        <v>0</v>
      </c>
      <c r="N190" s="55"/>
    </row>
    <row r="191">
      <c r="A191" s="60"/>
      <c r="B191" s="60"/>
      <c r="C191" s="60"/>
      <c r="D191" s="60"/>
      <c r="E191" s="60"/>
      <c r="F191" s="60"/>
      <c r="G191" s="60"/>
      <c r="H191" s="60"/>
      <c r="I191" s="61"/>
      <c r="J191" s="61"/>
      <c r="K191" s="60"/>
      <c r="L191" s="60" t="b">
        <v>0</v>
      </c>
      <c r="M191" s="60" t="b">
        <v>0</v>
      </c>
      <c r="N191" s="60"/>
    </row>
    <row r="192">
      <c r="A192" s="55"/>
      <c r="B192" s="55"/>
      <c r="C192" s="55"/>
      <c r="D192" s="55"/>
      <c r="E192" s="55"/>
      <c r="F192" s="55"/>
      <c r="G192" s="55"/>
      <c r="H192" s="55"/>
      <c r="I192" s="57"/>
      <c r="J192" s="57"/>
      <c r="K192" s="55"/>
      <c r="L192" s="55" t="b">
        <v>0</v>
      </c>
      <c r="M192" s="55" t="b">
        <v>0</v>
      </c>
      <c r="N192" s="55"/>
    </row>
    <row r="193">
      <c r="A193" s="60"/>
      <c r="B193" s="60"/>
      <c r="C193" s="60"/>
      <c r="D193" s="60"/>
      <c r="E193" s="60"/>
      <c r="F193" s="60"/>
      <c r="G193" s="60"/>
      <c r="H193" s="60"/>
      <c r="I193" s="61"/>
      <c r="J193" s="61"/>
      <c r="K193" s="60"/>
      <c r="L193" s="60" t="b">
        <v>0</v>
      </c>
      <c r="M193" s="60" t="b">
        <v>0</v>
      </c>
      <c r="N193" s="60"/>
    </row>
    <row r="194">
      <c r="A194" s="55"/>
      <c r="B194" s="55"/>
      <c r="C194" s="55"/>
      <c r="D194" s="55"/>
      <c r="E194" s="55"/>
      <c r="F194" s="55"/>
      <c r="G194" s="55"/>
      <c r="H194" s="55"/>
      <c r="I194" s="57"/>
      <c r="J194" s="57"/>
      <c r="K194" s="55"/>
      <c r="L194" s="55" t="b">
        <v>0</v>
      </c>
      <c r="M194" s="55" t="b">
        <v>0</v>
      </c>
      <c r="N194" s="55"/>
    </row>
    <row r="195">
      <c r="A195" s="60"/>
      <c r="B195" s="60"/>
      <c r="C195" s="60"/>
      <c r="D195" s="60"/>
      <c r="E195" s="60"/>
      <c r="F195" s="60"/>
      <c r="G195" s="60"/>
      <c r="H195" s="60"/>
      <c r="I195" s="61"/>
      <c r="J195" s="61"/>
      <c r="K195" s="60"/>
      <c r="L195" s="60" t="b">
        <v>0</v>
      </c>
      <c r="M195" s="60" t="b">
        <v>0</v>
      </c>
      <c r="N195" s="60"/>
    </row>
    <row r="196">
      <c r="A196" s="55"/>
      <c r="B196" s="55"/>
      <c r="C196" s="55"/>
      <c r="D196" s="55"/>
      <c r="E196" s="55"/>
      <c r="F196" s="55"/>
      <c r="G196" s="55"/>
      <c r="H196" s="55"/>
      <c r="I196" s="57"/>
      <c r="J196" s="57"/>
      <c r="K196" s="55"/>
      <c r="L196" s="55" t="b">
        <v>0</v>
      </c>
      <c r="M196" s="55" t="b">
        <v>0</v>
      </c>
      <c r="N196" s="55"/>
    </row>
    <row r="197">
      <c r="A197" s="60"/>
      <c r="B197" s="60"/>
      <c r="C197" s="60"/>
      <c r="D197" s="60"/>
      <c r="E197" s="60"/>
      <c r="F197" s="60"/>
      <c r="G197" s="60"/>
      <c r="H197" s="60"/>
      <c r="I197" s="61"/>
      <c r="J197" s="61"/>
      <c r="K197" s="60"/>
      <c r="L197" s="60" t="b">
        <v>0</v>
      </c>
      <c r="M197" s="60" t="b">
        <v>0</v>
      </c>
      <c r="N197" s="60"/>
    </row>
    <row r="198">
      <c r="A198" s="55"/>
      <c r="B198" s="55"/>
      <c r="C198" s="55"/>
      <c r="D198" s="55"/>
      <c r="E198" s="55"/>
      <c r="F198" s="55"/>
      <c r="G198" s="55"/>
      <c r="H198" s="55"/>
      <c r="I198" s="57"/>
      <c r="J198" s="57"/>
      <c r="K198" s="55"/>
      <c r="L198" s="55" t="b">
        <v>0</v>
      </c>
      <c r="M198" s="55" t="b">
        <v>0</v>
      </c>
      <c r="N198" s="55"/>
    </row>
    <row r="199">
      <c r="A199" s="60"/>
      <c r="B199" s="60"/>
      <c r="C199" s="60"/>
      <c r="D199" s="60"/>
      <c r="E199" s="60"/>
      <c r="F199" s="60"/>
      <c r="G199" s="60"/>
      <c r="H199" s="60"/>
      <c r="I199" s="61"/>
      <c r="J199" s="61"/>
      <c r="K199" s="60"/>
      <c r="L199" s="60" t="b">
        <v>0</v>
      </c>
      <c r="M199" s="60" t="b">
        <v>0</v>
      </c>
      <c r="N199" s="60"/>
    </row>
    <row r="200">
      <c r="A200" s="55"/>
      <c r="B200" s="55"/>
      <c r="C200" s="55"/>
      <c r="D200" s="55"/>
      <c r="E200" s="55"/>
      <c r="F200" s="55"/>
      <c r="G200" s="55"/>
      <c r="H200" s="55"/>
      <c r="I200" s="57"/>
      <c r="J200" s="57"/>
      <c r="K200" s="55"/>
      <c r="L200" s="55" t="b">
        <v>0</v>
      </c>
      <c r="M200" s="55" t="b">
        <v>0</v>
      </c>
      <c r="N200" s="55"/>
    </row>
    <row r="201">
      <c r="A201" s="60"/>
      <c r="B201" s="60"/>
      <c r="C201" s="60"/>
      <c r="D201" s="60"/>
      <c r="E201" s="60"/>
      <c r="F201" s="60"/>
      <c r="G201" s="60"/>
      <c r="H201" s="60"/>
      <c r="I201" s="61"/>
      <c r="J201" s="61"/>
      <c r="K201" s="60"/>
      <c r="L201" s="60" t="b">
        <v>0</v>
      </c>
      <c r="M201" s="60" t="b">
        <v>0</v>
      </c>
      <c r="N201" s="60"/>
    </row>
    <row r="202">
      <c r="A202" s="55"/>
      <c r="B202" s="55"/>
      <c r="C202" s="55"/>
      <c r="D202" s="55"/>
      <c r="E202" s="55"/>
      <c r="F202" s="55"/>
      <c r="G202" s="55"/>
      <c r="H202" s="55"/>
      <c r="I202" s="57"/>
      <c r="J202" s="57"/>
      <c r="K202" s="55"/>
      <c r="L202" s="55" t="b">
        <v>0</v>
      </c>
      <c r="M202" s="55" t="b">
        <v>0</v>
      </c>
      <c r="N202" s="55"/>
    </row>
    <row r="203">
      <c r="A203" s="60"/>
      <c r="B203" s="60"/>
      <c r="C203" s="60"/>
      <c r="D203" s="60"/>
      <c r="E203" s="60"/>
      <c r="F203" s="60"/>
      <c r="G203" s="60"/>
      <c r="H203" s="60"/>
      <c r="I203" s="61"/>
      <c r="J203" s="61"/>
      <c r="K203" s="60"/>
      <c r="L203" s="60" t="b">
        <v>0</v>
      </c>
      <c r="M203" s="60" t="b">
        <v>0</v>
      </c>
      <c r="N203" s="60"/>
    </row>
    <row r="204">
      <c r="A204" s="55"/>
      <c r="B204" s="55"/>
      <c r="C204" s="55"/>
      <c r="D204" s="55"/>
      <c r="E204" s="55"/>
      <c r="F204" s="55"/>
      <c r="G204" s="55"/>
      <c r="H204" s="55"/>
      <c r="I204" s="57"/>
      <c r="J204" s="57"/>
      <c r="K204" s="55"/>
      <c r="L204" s="55" t="b">
        <v>0</v>
      </c>
      <c r="M204" s="55" t="b">
        <v>0</v>
      </c>
      <c r="N204" s="55"/>
    </row>
    <row r="205">
      <c r="A205" s="60"/>
      <c r="B205" s="60"/>
      <c r="C205" s="60"/>
      <c r="D205" s="60"/>
      <c r="E205" s="60"/>
      <c r="F205" s="60"/>
      <c r="G205" s="60"/>
      <c r="H205" s="60"/>
      <c r="I205" s="61"/>
      <c r="J205" s="61"/>
      <c r="K205" s="60"/>
      <c r="L205" s="60" t="b">
        <v>0</v>
      </c>
      <c r="M205" s="60" t="b">
        <v>0</v>
      </c>
      <c r="N205" s="60"/>
    </row>
    <row r="206">
      <c r="A206" s="55"/>
      <c r="B206" s="55"/>
      <c r="C206" s="55"/>
      <c r="D206" s="55"/>
      <c r="E206" s="55"/>
      <c r="F206" s="55"/>
      <c r="G206" s="55"/>
      <c r="H206" s="55"/>
      <c r="I206" s="57"/>
      <c r="J206" s="57"/>
      <c r="K206" s="55"/>
      <c r="L206" s="55" t="b">
        <v>0</v>
      </c>
      <c r="M206" s="55" t="b">
        <v>0</v>
      </c>
      <c r="N206" s="55"/>
    </row>
    <row r="207">
      <c r="A207" s="60"/>
      <c r="B207" s="60"/>
      <c r="C207" s="60"/>
      <c r="D207" s="60"/>
      <c r="E207" s="60"/>
      <c r="F207" s="60"/>
      <c r="G207" s="60"/>
      <c r="H207" s="60"/>
      <c r="I207" s="61"/>
      <c r="J207" s="61"/>
      <c r="K207" s="60"/>
      <c r="L207" s="60" t="b">
        <v>0</v>
      </c>
      <c r="M207" s="60" t="b">
        <v>0</v>
      </c>
      <c r="N207" s="60"/>
    </row>
    <row r="208">
      <c r="A208" s="55"/>
      <c r="B208" s="55"/>
      <c r="C208" s="55"/>
      <c r="D208" s="55"/>
      <c r="E208" s="55"/>
      <c r="F208" s="55"/>
      <c r="G208" s="55"/>
      <c r="H208" s="55"/>
      <c r="I208" s="57"/>
      <c r="J208" s="57"/>
      <c r="K208" s="55"/>
      <c r="L208" s="55" t="b">
        <v>0</v>
      </c>
      <c r="M208" s="55" t="b">
        <v>0</v>
      </c>
      <c r="N208" s="55"/>
    </row>
    <row r="209">
      <c r="A209" s="60"/>
      <c r="B209" s="60"/>
      <c r="C209" s="60"/>
      <c r="D209" s="60"/>
      <c r="E209" s="60"/>
      <c r="F209" s="60"/>
      <c r="G209" s="60"/>
      <c r="H209" s="60"/>
      <c r="I209" s="61"/>
      <c r="J209" s="61"/>
      <c r="K209" s="60"/>
      <c r="L209" s="60" t="b">
        <v>0</v>
      </c>
      <c r="M209" s="60" t="b">
        <v>0</v>
      </c>
      <c r="N209" s="60"/>
    </row>
    <row r="210">
      <c r="A210" s="55"/>
      <c r="B210" s="55"/>
      <c r="C210" s="55"/>
      <c r="D210" s="55"/>
      <c r="E210" s="55"/>
      <c r="F210" s="55"/>
      <c r="G210" s="55"/>
      <c r="H210" s="55"/>
      <c r="I210" s="57"/>
      <c r="J210" s="57"/>
      <c r="K210" s="55"/>
      <c r="L210" s="55" t="b">
        <v>0</v>
      </c>
      <c r="M210" s="55" t="b">
        <v>0</v>
      </c>
      <c r="N210" s="55"/>
    </row>
    <row r="211">
      <c r="A211" s="60"/>
      <c r="B211" s="60"/>
      <c r="C211" s="60"/>
      <c r="D211" s="60"/>
      <c r="E211" s="60"/>
      <c r="F211" s="60"/>
      <c r="G211" s="60"/>
      <c r="H211" s="60"/>
      <c r="I211" s="61"/>
      <c r="J211" s="61"/>
      <c r="K211" s="60"/>
      <c r="L211" s="60" t="b">
        <v>0</v>
      </c>
      <c r="M211" s="60" t="b">
        <v>0</v>
      </c>
      <c r="N211" s="60"/>
    </row>
    <row r="212">
      <c r="A212" s="55"/>
      <c r="B212" s="55"/>
      <c r="C212" s="55"/>
      <c r="D212" s="55"/>
      <c r="E212" s="55"/>
      <c r="F212" s="55"/>
      <c r="G212" s="55"/>
      <c r="H212" s="55"/>
      <c r="I212" s="57"/>
      <c r="J212" s="57"/>
      <c r="K212" s="55"/>
      <c r="L212" s="55" t="b">
        <v>0</v>
      </c>
      <c r="M212" s="55" t="b">
        <v>0</v>
      </c>
      <c r="N212" s="55"/>
    </row>
    <row r="213">
      <c r="A213" s="60"/>
      <c r="B213" s="60"/>
      <c r="C213" s="60"/>
      <c r="D213" s="60"/>
      <c r="E213" s="60"/>
      <c r="F213" s="60"/>
      <c r="G213" s="60"/>
      <c r="H213" s="60"/>
      <c r="I213" s="61"/>
      <c r="J213" s="61"/>
      <c r="K213" s="60"/>
      <c r="L213" s="60" t="b">
        <v>0</v>
      </c>
      <c r="M213" s="60" t="b">
        <v>0</v>
      </c>
      <c r="N213" s="60"/>
    </row>
    <row r="214">
      <c r="A214" s="55"/>
      <c r="B214" s="55"/>
      <c r="C214" s="55"/>
      <c r="D214" s="55"/>
      <c r="E214" s="55"/>
      <c r="F214" s="55"/>
      <c r="G214" s="55"/>
      <c r="H214" s="55"/>
      <c r="I214" s="57"/>
      <c r="J214" s="57"/>
      <c r="K214" s="55"/>
      <c r="L214" s="55" t="b">
        <v>0</v>
      </c>
      <c r="M214" s="55" t="b">
        <v>0</v>
      </c>
      <c r="N214" s="55"/>
    </row>
    <row r="215">
      <c r="A215" s="60"/>
      <c r="B215" s="60"/>
      <c r="C215" s="60"/>
      <c r="D215" s="60"/>
      <c r="E215" s="60"/>
      <c r="F215" s="60"/>
      <c r="G215" s="60"/>
      <c r="H215" s="60"/>
      <c r="I215" s="61"/>
      <c r="J215" s="61"/>
      <c r="K215" s="60"/>
      <c r="L215" s="60" t="b">
        <v>0</v>
      </c>
      <c r="M215" s="60" t="b">
        <v>0</v>
      </c>
      <c r="N215" s="60"/>
    </row>
    <row r="216">
      <c r="A216" s="55"/>
      <c r="B216" s="55"/>
      <c r="C216" s="55"/>
      <c r="D216" s="55"/>
      <c r="E216" s="55"/>
      <c r="F216" s="55"/>
      <c r="G216" s="55"/>
      <c r="H216" s="55"/>
      <c r="I216" s="57"/>
      <c r="J216" s="57"/>
      <c r="K216" s="55"/>
      <c r="L216" s="55" t="b">
        <v>0</v>
      </c>
      <c r="M216" s="55" t="b">
        <v>0</v>
      </c>
      <c r="N216" s="55"/>
    </row>
    <row r="217">
      <c r="A217" s="60"/>
      <c r="B217" s="60"/>
      <c r="C217" s="60"/>
      <c r="D217" s="60"/>
      <c r="E217" s="60"/>
      <c r="F217" s="60"/>
      <c r="G217" s="60"/>
      <c r="H217" s="60"/>
      <c r="I217" s="61"/>
      <c r="J217" s="61"/>
      <c r="K217" s="60"/>
      <c r="L217" s="60" t="b">
        <v>0</v>
      </c>
      <c r="M217" s="60" t="b">
        <v>0</v>
      </c>
      <c r="N217" s="60"/>
    </row>
    <row r="218">
      <c r="A218" s="55"/>
      <c r="B218" s="55"/>
      <c r="C218" s="55"/>
      <c r="D218" s="55"/>
      <c r="E218" s="55"/>
      <c r="F218" s="55"/>
      <c r="G218" s="55"/>
      <c r="H218" s="55"/>
      <c r="I218" s="57"/>
      <c r="J218" s="57"/>
      <c r="K218" s="55"/>
      <c r="L218" s="55" t="b">
        <v>0</v>
      </c>
      <c r="M218" s="55" t="b">
        <v>0</v>
      </c>
      <c r="N218" s="55"/>
    </row>
    <row r="219">
      <c r="A219" s="60"/>
      <c r="B219" s="60"/>
      <c r="C219" s="60"/>
      <c r="D219" s="60"/>
      <c r="E219" s="60"/>
      <c r="F219" s="60"/>
      <c r="G219" s="60"/>
      <c r="H219" s="60"/>
      <c r="I219" s="61"/>
      <c r="J219" s="61"/>
      <c r="K219" s="60"/>
      <c r="L219" s="60" t="b">
        <v>0</v>
      </c>
      <c r="M219" s="60" t="b">
        <v>0</v>
      </c>
      <c r="N219" s="60"/>
    </row>
    <row r="220">
      <c r="A220" s="55"/>
      <c r="B220" s="55"/>
      <c r="C220" s="55"/>
      <c r="D220" s="55"/>
      <c r="E220" s="55"/>
      <c r="F220" s="55"/>
      <c r="G220" s="55"/>
      <c r="H220" s="55"/>
      <c r="I220" s="57"/>
      <c r="J220" s="57"/>
      <c r="K220" s="55"/>
      <c r="L220" s="55" t="b">
        <v>0</v>
      </c>
      <c r="M220" s="55" t="b">
        <v>0</v>
      </c>
      <c r="N220" s="55"/>
    </row>
    <row r="221">
      <c r="A221" s="60"/>
      <c r="B221" s="60"/>
      <c r="C221" s="60"/>
      <c r="D221" s="60"/>
      <c r="E221" s="60"/>
      <c r="F221" s="60"/>
      <c r="G221" s="60"/>
      <c r="H221" s="60"/>
      <c r="I221" s="61"/>
      <c r="J221" s="61"/>
      <c r="K221" s="60"/>
      <c r="L221" s="60" t="b">
        <v>0</v>
      </c>
      <c r="M221" s="60" t="b">
        <v>0</v>
      </c>
      <c r="N221" s="60"/>
    </row>
    <row r="222">
      <c r="A222" s="55"/>
      <c r="B222" s="55"/>
      <c r="C222" s="55"/>
      <c r="D222" s="55"/>
      <c r="E222" s="55"/>
      <c r="F222" s="55"/>
      <c r="G222" s="55"/>
      <c r="H222" s="55"/>
      <c r="I222" s="57"/>
      <c r="J222" s="57"/>
      <c r="K222" s="55"/>
      <c r="L222" s="55" t="b">
        <v>0</v>
      </c>
      <c r="M222" s="55" t="b">
        <v>0</v>
      </c>
      <c r="N222" s="55"/>
    </row>
    <row r="223">
      <c r="A223" s="60"/>
      <c r="B223" s="60"/>
      <c r="C223" s="60"/>
      <c r="D223" s="60"/>
      <c r="E223" s="60"/>
      <c r="F223" s="60"/>
      <c r="G223" s="60"/>
      <c r="H223" s="60"/>
      <c r="I223" s="61"/>
      <c r="J223" s="61"/>
      <c r="K223" s="60"/>
      <c r="L223" s="60" t="b">
        <v>0</v>
      </c>
      <c r="M223" s="60" t="b">
        <v>0</v>
      </c>
      <c r="N223" s="60"/>
    </row>
    <row r="224">
      <c r="A224" s="55"/>
      <c r="B224" s="55"/>
      <c r="C224" s="55"/>
      <c r="D224" s="55"/>
      <c r="E224" s="55"/>
      <c r="F224" s="55"/>
      <c r="G224" s="55"/>
      <c r="H224" s="55"/>
      <c r="I224" s="57"/>
      <c r="J224" s="57"/>
      <c r="K224" s="55"/>
      <c r="L224" s="55" t="b">
        <v>0</v>
      </c>
      <c r="M224" s="55" t="b">
        <v>0</v>
      </c>
      <c r="N224" s="55"/>
    </row>
    <row r="225">
      <c r="A225" s="60"/>
      <c r="B225" s="60"/>
      <c r="C225" s="60"/>
      <c r="D225" s="60"/>
      <c r="E225" s="60"/>
      <c r="F225" s="60"/>
      <c r="G225" s="60"/>
      <c r="H225" s="60"/>
      <c r="I225" s="61"/>
      <c r="J225" s="61"/>
      <c r="K225" s="60"/>
      <c r="L225" s="60" t="b">
        <v>0</v>
      </c>
      <c r="M225" s="60" t="b">
        <v>0</v>
      </c>
      <c r="N225" s="60"/>
    </row>
    <row r="226">
      <c r="A226" s="55"/>
      <c r="B226" s="55"/>
      <c r="C226" s="55"/>
      <c r="D226" s="55"/>
      <c r="E226" s="55"/>
      <c r="F226" s="55"/>
      <c r="G226" s="55"/>
      <c r="H226" s="55"/>
      <c r="I226" s="57"/>
      <c r="J226" s="57"/>
      <c r="K226" s="55"/>
      <c r="L226" s="55" t="b">
        <v>0</v>
      </c>
      <c r="M226" s="55" t="b">
        <v>0</v>
      </c>
      <c r="N226" s="55"/>
    </row>
    <row r="227">
      <c r="A227" s="60"/>
      <c r="B227" s="60"/>
      <c r="C227" s="60"/>
      <c r="D227" s="60"/>
      <c r="E227" s="60"/>
      <c r="F227" s="60"/>
      <c r="G227" s="60"/>
      <c r="H227" s="60"/>
      <c r="I227" s="61"/>
      <c r="J227" s="61"/>
      <c r="K227" s="60"/>
      <c r="L227" s="60" t="b">
        <v>0</v>
      </c>
      <c r="M227" s="60" t="b">
        <v>0</v>
      </c>
      <c r="N227" s="60"/>
    </row>
    <row r="228">
      <c r="A228" s="55"/>
      <c r="B228" s="55"/>
      <c r="C228" s="55"/>
      <c r="D228" s="55"/>
      <c r="E228" s="55"/>
      <c r="F228" s="55"/>
      <c r="G228" s="55"/>
      <c r="H228" s="55"/>
      <c r="I228" s="57"/>
      <c r="J228" s="57"/>
      <c r="K228" s="55"/>
      <c r="L228" s="55" t="b">
        <v>0</v>
      </c>
      <c r="M228" s="55" t="b">
        <v>0</v>
      </c>
      <c r="N228" s="55"/>
    </row>
    <row r="229">
      <c r="A229" s="60"/>
      <c r="B229" s="60"/>
      <c r="C229" s="60"/>
      <c r="D229" s="60"/>
      <c r="E229" s="60"/>
      <c r="F229" s="60"/>
      <c r="G229" s="60"/>
      <c r="H229" s="60"/>
      <c r="I229" s="61"/>
      <c r="J229" s="61"/>
      <c r="K229" s="60"/>
      <c r="L229" s="60" t="b">
        <v>0</v>
      </c>
      <c r="M229" s="60" t="b">
        <v>0</v>
      </c>
      <c r="N229" s="60"/>
    </row>
    <row r="230">
      <c r="A230" s="55"/>
      <c r="B230" s="55"/>
      <c r="C230" s="55"/>
      <c r="D230" s="55"/>
      <c r="E230" s="55"/>
      <c r="F230" s="55"/>
      <c r="G230" s="55"/>
      <c r="H230" s="55"/>
      <c r="I230" s="57"/>
      <c r="J230" s="57"/>
      <c r="K230" s="55"/>
      <c r="L230" s="55" t="b">
        <v>0</v>
      </c>
      <c r="M230" s="55" t="b">
        <v>0</v>
      </c>
      <c r="N230" s="55"/>
    </row>
    <row r="231">
      <c r="A231" s="60"/>
      <c r="B231" s="60"/>
      <c r="C231" s="60"/>
      <c r="D231" s="60"/>
      <c r="E231" s="60"/>
      <c r="F231" s="60"/>
      <c r="G231" s="60"/>
      <c r="H231" s="60"/>
      <c r="I231" s="61"/>
      <c r="J231" s="61"/>
      <c r="K231" s="60"/>
      <c r="L231" s="60" t="b">
        <v>0</v>
      </c>
      <c r="M231" s="60" t="b">
        <v>0</v>
      </c>
      <c r="N231" s="60"/>
    </row>
    <row r="232">
      <c r="A232" s="55"/>
      <c r="B232" s="55"/>
      <c r="C232" s="55"/>
      <c r="D232" s="55"/>
      <c r="E232" s="55"/>
      <c r="F232" s="55"/>
      <c r="G232" s="55"/>
      <c r="H232" s="55"/>
      <c r="I232" s="57"/>
      <c r="J232" s="57"/>
      <c r="K232" s="55"/>
      <c r="L232" s="55" t="b">
        <v>0</v>
      </c>
      <c r="M232" s="55" t="b">
        <v>0</v>
      </c>
      <c r="N232" s="55"/>
    </row>
    <row r="233">
      <c r="A233" s="60"/>
      <c r="B233" s="60"/>
      <c r="C233" s="60"/>
      <c r="D233" s="60"/>
      <c r="E233" s="60"/>
      <c r="F233" s="60"/>
      <c r="G233" s="60"/>
      <c r="H233" s="60"/>
      <c r="I233" s="61"/>
      <c r="J233" s="61"/>
      <c r="K233" s="60"/>
      <c r="L233" s="60" t="b">
        <v>0</v>
      </c>
      <c r="M233" s="60" t="b">
        <v>0</v>
      </c>
      <c r="N233" s="60"/>
    </row>
    <row r="234">
      <c r="A234" s="55"/>
      <c r="B234" s="55"/>
      <c r="C234" s="55"/>
      <c r="D234" s="55"/>
      <c r="E234" s="55"/>
      <c r="F234" s="55"/>
      <c r="G234" s="55"/>
      <c r="H234" s="55"/>
      <c r="I234" s="57"/>
      <c r="J234" s="57"/>
      <c r="K234" s="55"/>
      <c r="L234" s="55" t="b">
        <v>0</v>
      </c>
      <c r="M234" s="55" t="b">
        <v>0</v>
      </c>
      <c r="N234" s="55"/>
    </row>
    <row r="235">
      <c r="A235" s="60"/>
      <c r="B235" s="60"/>
      <c r="C235" s="60"/>
      <c r="D235" s="60"/>
      <c r="E235" s="60"/>
      <c r="F235" s="60"/>
      <c r="G235" s="60"/>
      <c r="H235" s="60"/>
      <c r="I235" s="61"/>
      <c r="J235" s="61"/>
      <c r="K235" s="60"/>
      <c r="L235" s="60" t="b">
        <v>0</v>
      </c>
      <c r="M235" s="60" t="b">
        <v>0</v>
      </c>
      <c r="N235" s="60"/>
    </row>
    <row r="236">
      <c r="A236" s="55"/>
      <c r="B236" s="55"/>
      <c r="C236" s="55"/>
      <c r="D236" s="55"/>
      <c r="E236" s="55"/>
      <c r="F236" s="55"/>
      <c r="G236" s="55"/>
      <c r="H236" s="55"/>
      <c r="I236" s="57"/>
      <c r="J236" s="57"/>
      <c r="K236" s="55"/>
      <c r="L236" s="55" t="b">
        <v>0</v>
      </c>
      <c r="M236" s="55" t="b">
        <v>0</v>
      </c>
      <c r="N236" s="55"/>
    </row>
    <row r="237">
      <c r="A237" s="60"/>
      <c r="B237" s="60"/>
      <c r="C237" s="60"/>
      <c r="D237" s="60"/>
      <c r="E237" s="60"/>
      <c r="F237" s="60"/>
      <c r="G237" s="60"/>
      <c r="H237" s="60"/>
      <c r="I237" s="61"/>
      <c r="J237" s="61"/>
      <c r="K237" s="60"/>
      <c r="L237" s="60" t="b">
        <v>0</v>
      </c>
      <c r="M237" s="60" t="b">
        <v>0</v>
      </c>
      <c r="N237" s="60"/>
    </row>
    <row r="238">
      <c r="A238" s="55"/>
      <c r="B238" s="55"/>
      <c r="C238" s="55"/>
      <c r="D238" s="55"/>
      <c r="E238" s="55"/>
      <c r="F238" s="55"/>
      <c r="G238" s="55"/>
      <c r="H238" s="55"/>
      <c r="I238" s="57"/>
      <c r="J238" s="57"/>
      <c r="K238" s="55"/>
      <c r="L238" s="55" t="b">
        <v>0</v>
      </c>
      <c r="M238" s="55" t="b">
        <v>0</v>
      </c>
      <c r="N238" s="55"/>
    </row>
    <row r="239">
      <c r="A239" s="60"/>
      <c r="B239" s="60"/>
      <c r="C239" s="60"/>
      <c r="D239" s="60"/>
      <c r="E239" s="60"/>
      <c r="F239" s="60"/>
      <c r="G239" s="60"/>
      <c r="H239" s="60"/>
      <c r="I239" s="61"/>
      <c r="J239" s="61"/>
      <c r="K239" s="60"/>
      <c r="L239" s="60" t="b">
        <v>0</v>
      </c>
      <c r="M239" s="60" t="b">
        <v>0</v>
      </c>
      <c r="N239" s="60"/>
    </row>
    <row r="240">
      <c r="A240" s="55"/>
      <c r="B240" s="55"/>
      <c r="C240" s="55"/>
      <c r="D240" s="55"/>
      <c r="E240" s="55"/>
      <c r="F240" s="55"/>
      <c r="G240" s="55"/>
      <c r="H240" s="55"/>
      <c r="I240" s="57"/>
      <c r="J240" s="57"/>
      <c r="K240" s="55"/>
      <c r="L240" s="55" t="b">
        <v>0</v>
      </c>
      <c r="M240" s="55" t="b">
        <v>0</v>
      </c>
      <c r="N240" s="55"/>
    </row>
    <row r="241">
      <c r="A241" s="60"/>
      <c r="B241" s="60"/>
      <c r="C241" s="60"/>
      <c r="D241" s="60"/>
      <c r="E241" s="60"/>
      <c r="F241" s="60"/>
      <c r="G241" s="60"/>
      <c r="H241" s="60"/>
      <c r="I241" s="61"/>
      <c r="J241" s="61"/>
      <c r="K241" s="60"/>
      <c r="L241" s="60" t="b">
        <v>0</v>
      </c>
      <c r="M241" s="60" t="b">
        <v>0</v>
      </c>
      <c r="N241" s="60"/>
    </row>
    <row r="242">
      <c r="A242" s="55"/>
      <c r="B242" s="55"/>
      <c r="C242" s="55"/>
      <c r="D242" s="55"/>
      <c r="E242" s="55"/>
      <c r="F242" s="55"/>
      <c r="G242" s="55"/>
      <c r="H242" s="55"/>
      <c r="I242" s="57"/>
      <c r="J242" s="57"/>
      <c r="K242" s="55"/>
      <c r="L242" s="55" t="b">
        <v>0</v>
      </c>
      <c r="M242" s="55" t="b">
        <v>0</v>
      </c>
      <c r="N242" s="55"/>
    </row>
    <row r="243">
      <c r="A243" s="60"/>
      <c r="B243" s="60"/>
      <c r="C243" s="60"/>
      <c r="D243" s="60"/>
      <c r="E243" s="60"/>
      <c r="F243" s="60"/>
      <c r="G243" s="60"/>
      <c r="H243" s="60"/>
      <c r="I243" s="61"/>
      <c r="J243" s="61"/>
      <c r="K243" s="60"/>
      <c r="L243" s="60" t="b">
        <v>0</v>
      </c>
      <c r="M243" s="60" t="b">
        <v>0</v>
      </c>
      <c r="N243" s="60"/>
    </row>
    <row r="244">
      <c r="A244" s="55"/>
      <c r="B244" s="55"/>
      <c r="C244" s="55"/>
      <c r="D244" s="55"/>
      <c r="E244" s="55"/>
      <c r="F244" s="55"/>
      <c r="G244" s="55"/>
      <c r="H244" s="55"/>
      <c r="I244" s="57"/>
      <c r="J244" s="57"/>
      <c r="K244" s="55"/>
      <c r="L244" s="55" t="b">
        <v>0</v>
      </c>
      <c r="M244" s="55" t="b">
        <v>0</v>
      </c>
      <c r="N244" s="55"/>
    </row>
    <row r="245">
      <c r="A245" s="60"/>
      <c r="B245" s="60"/>
      <c r="C245" s="60"/>
      <c r="D245" s="60"/>
      <c r="E245" s="60"/>
      <c r="F245" s="60"/>
      <c r="G245" s="60"/>
      <c r="H245" s="60"/>
      <c r="I245" s="61"/>
      <c r="J245" s="61"/>
      <c r="K245" s="60"/>
      <c r="L245" s="60" t="b">
        <v>0</v>
      </c>
      <c r="M245" s="60" t="b">
        <v>0</v>
      </c>
      <c r="N245" s="60"/>
    </row>
    <row r="246">
      <c r="A246" s="55"/>
      <c r="B246" s="55"/>
      <c r="C246" s="55"/>
      <c r="D246" s="55"/>
      <c r="E246" s="55"/>
      <c r="F246" s="55"/>
      <c r="G246" s="55"/>
      <c r="H246" s="55"/>
      <c r="I246" s="57"/>
      <c r="J246" s="57"/>
      <c r="K246" s="55"/>
      <c r="L246" s="55" t="b">
        <v>0</v>
      </c>
      <c r="M246" s="55" t="b">
        <v>0</v>
      </c>
      <c r="N246" s="55"/>
    </row>
    <row r="247">
      <c r="A247" s="60"/>
      <c r="B247" s="60"/>
      <c r="C247" s="60"/>
      <c r="D247" s="60"/>
      <c r="E247" s="60"/>
      <c r="F247" s="60"/>
      <c r="G247" s="60"/>
      <c r="H247" s="60"/>
      <c r="I247" s="61"/>
      <c r="J247" s="61"/>
      <c r="K247" s="60"/>
      <c r="L247" s="60" t="b">
        <v>0</v>
      </c>
      <c r="M247" s="60" t="b">
        <v>0</v>
      </c>
      <c r="N247" s="60"/>
    </row>
    <row r="248">
      <c r="A248" s="55"/>
      <c r="B248" s="55"/>
      <c r="C248" s="55"/>
      <c r="D248" s="55"/>
      <c r="E248" s="55"/>
      <c r="F248" s="55"/>
      <c r="G248" s="55"/>
      <c r="H248" s="55"/>
      <c r="I248" s="57"/>
      <c r="J248" s="57"/>
      <c r="K248" s="55"/>
      <c r="L248" s="55" t="b">
        <v>0</v>
      </c>
      <c r="M248" s="55" t="b">
        <v>0</v>
      </c>
      <c r="N248" s="55"/>
    </row>
    <row r="249">
      <c r="A249" s="60"/>
      <c r="B249" s="60"/>
      <c r="C249" s="60"/>
      <c r="D249" s="60"/>
      <c r="E249" s="60"/>
      <c r="F249" s="60"/>
      <c r="G249" s="60"/>
      <c r="H249" s="60"/>
      <c r="I249" s="61"/>
      <c r="J249" s="61"/>
      <c r="K249" s="60"/>
      <c r="L249" s="60" t="b">
        <v>0</v>
      </c>
      <c r="M249" s="60" t="b">
        <v>0</v>
      </c>
      <c r="N249" s="60"/>
    </row>
    <row r="250">
      <c r="A250" s="55"/>
      <c r="B250" s="55"/>
      <c r="C250" s="55"/>
      <c r="D250" s="55"/>
      <c r="E250" s="55"/>
      <c r="F250" s="55"/>
      <c r="G250" s="55"/>
      <c r="H250" s="55"/>
      <c r="I250" s="57"/>
      <c r="J250" s="57"/>
      <c r="K250" s="55"/>
      <c r="L250" s="55" t="b">
        <v>0</v>
      </c>
      <c r="M250" s="55" t="b">
        <v>0</v>
      </c>
      <c r="N250" s="55"/>
    </row>
  </sheetData>
  <autoFilter ref="$A$13:$N$250"/>
  <mergeCells count="21">
    <mergeCell ref="I6:J6"/>
    <mergeCell ref="K6:L6"/>
    <mergeCell ref="A1:N2"/>
    <mergeCell ref="A3:N3"/>
    <mergeCell ref="A4:N4"/>
    <mergeCell ref="C6:D6"/>
    <mergeCell ref="E6:F6"/>
    <mergeCell ref="G6:H6"/>
    <mergeCell ref="M6:N6"/>
    <mergeCell ref="E7:F7"/>
    <mergeCell ref="A9:G9"/>
    <mergeCell ref="H9:N9"/>
    <mergeCell ref="A10:G11"/>
    <mergeCell ref="H10:N11"/>
    <mergeCell ref="A6:B6"/>
    <mergeCell ref="A7:B7"/>
    <mergeCell ref="C7:D7"/>
    <mergeCell ref="G7:H7"/>
    <mergeCell ref="I7:J7"/>
    <mergeCell ref="K7:L7"/>
    <mergeCell ref="M7:N7"/>
  </mergeCells>
  <conditionalFormatting sqref="D14:D250">
    <cfRule type="expression" dxfId="1" priority="1" stopIfTrue="1">
      <formula>$D14="Finished"</formula>
    </cfRule>
  </conditionalFormatting>
  <conditionalFormatting sqref="D14:D250">
    <cfRule type="expression" dxfId="2" priority="2" stopIfTrue="1">
      <formula>$D14="Watching"</formula>
    </cfRule>
  </conditionalFormatting>
  <conditionalFormatting sqref="D14:D250">
    <cfRule type="expression" dxfId="3" priority="3" stopIfTrue="1">
      <formula>$D14="Watchlist"</formula>
    </cfRule>
  </conditionalFormatting>
  <dataValidations>
    <dataValidation type="list" allowBlank="1" sqref="E14:E250">
      <formula1>"Netflix,Hulu,Max,Disney+,Prime Video,Apple TV+,Peacock,Paramount+,YouTube,Theater,Other"</formula1>
    </dataValidation>
    <dataValidation type="list" allowBlank="1" showErrorMessage="1" sqref="D14:D250">
      <formula1>"Watchlist,Watching,Paused,Finished,DNF"</formula1>
    </dataValidation>
    <dataValidation type="list" allowBlank="1" sqref="B14:B250">
      <formula1>"Movie,Series,Documentary,Docuseries,Special,Anime,Other"</formula1>
    </dataValidation>
    <dataValidation type="list" allowBlank="1" sqref="H14:H250">
      <formula1>"1,2,3,4,5"</formula1>
    </dataValidation>
    <dataValidation type="list" allowBlank="1" sqref="C14:C250">
      <formula1>"Drama,Comedy,Romance,Thriller,Horror,Mystery,Fantasy,Sci-Fi,Action,Reality,Animation,Crime,Documentary,Other"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2" width="19.5"/>
    <col customWidth="1" min="3" max="8" width="13.25"/>
    <col customWidth="1" min="9" max="12" width="21.38"/>
  </cols>
  <sheetData>
    <row r="1">
      <c r="A1" s="69" t="s">
        <v>174</v>
      </c>
    </row>
    <row r="3">
      <c r="A3" s="9" t="s">
        <v>175</v>
      </c>
    </row>
    <row r="4">
      <c r="A4" s="9" t="s">
        <v>176</v>
      </c>
    </row>
    <row r="6">
      <c r="A6" s="14" t="s">
        <v>177</v>
      </c>
      <c r="C6" s="14" t="s">
        <v>178</v>
      </c>
      <c r="E6" s="14" t="s">
        <v>179</v>
      </c>
      <c r="G6" s="14" t="s">
        <v>180</v>
      </c>
      <c r="I6" s="14" t="s">
        <v>16</v>
      </c>
      <c r="K6" s="14" t="s">
        <v>181</v>
      </c>
    </row>
    <row r="7">
      <c r="A7" s="22">
        <f>COUNTIFS($D$14:$D$250,"&gt;="&amp;TODAY(),$C$14:$C$250,"&lt;&gt;Cancelled")</f>
        <v>0</v>
      </c>
      <c r="B7" s="23"/>
      <c r="C7" s="22">
        <f>COUNTIF($C$14:$C$250,"Booked")</f>
        <v>0</v>
      </c>
      <c r="D7" s="23"/>
      <c r="E7" s="22">
        <f>COUNTIF($C$14:$C$250,"Completed")</f>
        <v>0</v>
      </c>
      <c r="F7" s="23"/>
      <c r="G7" s="33">
        <f>SUM($G$14:$G$250)</f>
        <v>0</v>
      </c>
      <c r="H7" s="23"/>
      <c r="I7" s="33">
        <f>SUM($H$14:$H$250)</f>
        <v>0</v>
      </c>
      <c r="J7" s="23"/>
      <c r="K7" s="22" t="str">
        <f>IFERROR(__xludf.DUMMYFUNCTION("IFERROR(MIN(FILTER($D$14:$D$250,$D$14:$D$250&gt;=TODAY(),$C$14:$C$250&lt;&gt;""Cancelled""))-TODAY(),"""")"),"")</f>
        <v/>
      </c>
      <c r="L7" s="23"/>
    </row>
    <row r="9">
      <c r="A9" s="79" t="s">
        <v>182</v>
      </c>
      <c r="G9" s="79" t="s">
        <v>183</v>
      </c>
    </row>
    <row r="10">
      <c r="A10" s="140" t="str">
        <f>IFERROR(__xludf.DUMMYFUNCTION("IFERROR(INDEX(SORT(FILTER({$D$14:$D$250,$A$14:$A$250,$B$14:$B$250},$D$14:$D$250&gt;=TODAY(),$C$14:$C$250&lt;&gt;""Cancelled""),1,TRUE),1,2)&amp;CHAR(10)&amp;INDEX(SORT(FILTER({$D$14:$D$250,$A$14:$A$250,$B$14:$B$250},$D$14:$D$250&gt;=TODAY(),$C$14:$C$250&lt;&gt;""Cancelled""),1,TRU"&amp;"E),1,3),""Add a trip you’re dreaming about ♡"")"),"Add a trip you’re dreaming about ♡")</f>
        <v>Add a trip you’re dreaming about ♡</v>
      </c>
      <c r="G10" s="140" t="str">
        <f>IFERROR(__xludf.DUMMYFUNCTION("IFERROR(INDEX(SORT(FILTER({$E$14:$E$250,$A$14:$A$250,$B$14:$B$250},$C$14:$C$250=""Completed"",$E$14:$E$250&lt;&gt;""""),1,FALSE),1,2)&amp;CHAR(10)&amp;INDEX(SORT(FILTER({$E$14:$E$250,$A$14:$A$250,$B$14:$B$250},$C$14:$C$250=""Completed"",$E$14:$E$250&lt;&gt;""""),1,FALSE),1,3"&amp;"),""Your completed trips will live here ✦"")"),"Your completed trips will live here ✦")</f>
        <v>Your completed trips will live here ✦</v>
      </c>
    </row>
    <row r="11">
      <c r="A11" s="23"/>
      <c r="B11" s="23"/>
      <c r="C11" s="23"/>
      <c r="D11" s="23"/>
      <c r="E11" s="23"/>
      <c r="F11" s="23"/>
      <c r="G11" s="23"/>
      <c r="H11" s="23"/>
      <c r="I11" s="23"/>
      <c r="J11" s="23"/>
      <c r="K11" s="23"/>
      <c r="L11" s="23"/>
    </row>
    <row r="13">
      <c r="A13" s="52" t="s">
        <v>184</v>
      </c>
      <c r="B13" s="52" t="s">
        <v>185</v>
      </c>
      <c r="C13" s="52" t="s">
        <v>60</v>
      </c>
      <c r="D13" s="52" t="s">
        <v>88</v>
      </c>
      <c r="E13" s="52" t="s">
        <v>186</v>
      </c>
      <c r="F13" s="52" t="s">
        <v>187</v>
      </c>
      <c r="G13" s="52" t="s">
        <v>188</v>
      </c>
      <c r="H13" s="52" t="s">
        <v>189</v>
      </c>
      <c r="I13" s="52" t="s">
        <v>190</v>
      </c>
      <c r="J13" s="52" t="s">
        <v>191</v>
      </c>
      <c r="K13" s="52" t="s">
        <v>192</v>
      </c>
      <c r="L13" s="52" t="s">
        <v>71</v>
      </c>
    </row>
    <row r="14">
      <c r="A14" s="55"/>
      <c r="B14" s="55"/>
      <c r="C14" s="55"/>
      <c r="D14" s="57"/>
      <c r="E14" s="57"/>
      <c r="F14" s="55"/>
      <c r="G14" s="58"/>
      <c r="H14" s="58"/>
      <c r="I14" s="55"/>
      <c r="J14" s="55"/>
      <c r="K14" s="55"/>
      <c r="L14" s="55"/>
    </row>
    <row r="15">
      <c r="A15" s="60"/>
      <c r="B15" s="60"/>
      <c r="C15" s="60"/>
      <c r="D15" s="61"/>
      <c r="E15" s="61"/>
      <c r="F15" s="60"/>
      <c r="G15" s="62"/>
      <c r="H15" s="62"/>
      <c r="I15" s="60"/>
      <c r="J15" s="60"/>
      <c r="K15" s="60"/>
      <c r="L15" s="60"/>
    </row>
    <row r="16">
      <c r="A16" s="55"/>
      <c r="B16" s="55"/>
      <c r="C16" s="55"/>
      <c r="D16" s="57"/>
      <c r="E16" s="57"/>
      <c r="F16" s="55"/>
      <c r="G16" s="58"/>
      <c r="H16" s="58"/>
      <c r="I16" s="55"/>
      <c r="J16" s="55"/>
      <c r="K16" s="55"/>
      <c r="L16" s="55"/>
    </row>
    <row r="17">
      <c r="A17" s="60"/>
      <c r="B17" s="60"/>
      <c r="C17" s="60"/>
      <c r="D17" s="61"/>
      <c r="E17" s="61"/>
      <c r="F17" s="60"/>
      <c r="G17" s="62"/>
      <c r="H17" s="62"/>
      <c r="I17" s="60"/>
      <c r="J17" s="60"/>
      <c r="K17" s="60"/>
      <c r="L17" s="60"/>
    </row>
    <row r="18">
      <c r="A18" s="55"/>
      <c r="B18" s="55"/>
      <c r="C18" s="55"/>
      <c r="D18" s="57"/>
      <c r="E18" s="57"/>
      <c r="F18" s="55"/>
      <c r="G18" s="58"/>
      <c r="H18" s="58"/>
      <c r="I18" s="55"/>
      <c r="J18" s="55"/>
      <c r="K18" s="55"/>
      <c r="L18" s="55"/>
    </row>
    <row r="19">
      <c r="A19" s="60"/>
      <c r="B19" s="60"/>
      <c r="C19" s="60"/>
      <c r="D19" s="61"/>
      <c r="E19" s="61"/>
      <c r="F19" s="60"/>
      <c r="G19" s="62"/>
      <c r="H19" s="62"/>
      <c r="I19" s="60"/>
      <c r="J19" s="60"/>
      <c r="K19" s="60"/>
      <c r="L19" s="60"/>
    </row>
    <row r="20">
      <c r="A20" s="55"/>
      <c r="B20" s="55"/>
      <c r="C20" s="55"/>
      <c r="D20" s="57"/>
      <c r="E20" s="57"/>
      <c r="F20" s="55"/>
      <c r="G20" s="58"/>
      <c r="H20" s="58"/>
      <c r="I20" s="55"/>
      <c r="J20" s="55"/>
      <c r="K20" s="55"/>
      <c r="L20" s="55"/>
    </row>
    <row r="21">
      <c r="A21" s="60"/>
      <c r="B21" s="60"/>
      <c r="C21" s="60"/>
      <c r="D21" s="61"/>
      <c r="E21" s="61"/>
      <c r="F21" s="60"/>
      <c r="G21" s="62"/>
      <c r="H21" s="62"/>
      <c r="I21" s="60"/>
      <c r="J21" s="60"/>
      <c r="K21" s="60"/>
      <c r="L21" s="60"/>
    </row>
    <row r="22">
      <c r="A22" s="55"/>
      <c r="B22" s="55"/>
      <c r="C22" s="55"/>
      <c r="D22" s="57"/>
      <c r="E22" s="57"/>
      <c r="F22" s="55"/>
      <c r="G22" s="58"/>
      <c r="H22" s="58"/>
      <c r="I22" s="55"/>
      <c r="J22" s="55"/>
      <c r="K22" s="55"/>
      <c r="L22" s="55"/>
    </row>
    <row r="23">
      <c r="A23" s="60"/>
      <c r="B23" s="60"/>
      <c r="C23" s="60"/>
      <c r="D23" s="61"/>
      <c r="E23" s="61"/>
      <c r="F23" s="60"/>
      <c r="G23" s="62"/>
      <c r="H23" s="62"/>
      <c r="I23" s="60"/>
      <c r="J23" s="60"/>
      <c r="K23" s="60"/>
      <c r="L23" s="60"/>
    </row>
    <row r="24">
      <c r="A24" s="55"/>
      <c r="B24" s="55"/>
      <c r="C24" s="55"/>
      <c r="D24" s="57"/>
      <c r="E24" s="57"/>
      <c r="F24" s="55"/>
      <c r="G24" s="58"/>
      <c r="H24" s="58"/>
      <c r="I24" s="55"/>
      <c r="J24" s="55"/>
      <c r="K24" s="55"/>
      <c r="L24" s="55"/>
    </row>
    <row r="25">
      <c r="A25" s="60"/>
      <c r="B25" s="60"/>
      <c r="C25" s="60"/>
      <c r="D25" s="61"/>
      <c r="E25" s="61"/>
      <c r="F25" s="60"/>
      <c r="G25" s="62"/>
      <c r="H25" s="62"/>
      <c r="I25" s="60"/>
      <c r="J25" s="60"/>
      <c r="K25" s="60"/>
      <c r="L25" s="60"/>
    </row>
    <row r="26">
      <c r="A26" s="55"/>
      <c r="B26" s="55"/>
      <c r="C26" s="55"/>
      <c r="D26" s="57"/>
      <c r="E26" s="57"/>
      <c r="F26" s="55"/>
      <c r="G26" s="58"/>
      <c r="H26" s="58"/>
      <c r="I26" s="55"/>
      <c r="J26" s="55"/>
      <c r="K26" s="55"/>
      <c r="L26" s="55"/>
    </row>
    <row r="27">
      <c r="A27" s="60"/>
      <c r="B27" s="60"/>
      <c r="C27" s="60"/>
      <c r="D27" s="61"/>
      <c r="E27" s="61"/>
      <c r="F27" s="60"/>
      <c r="G27" s="62"/>
      <c r="H27" s="62"/>
      <c r="I27" s="60"/>
      <c r="J27" s="60"/>
      <c r="K27" s="60"/>
      <c r="L27" s="60"/>
    </row>
    <row r="28">
      <c r="A28" s="55"/>
      <c r="B28" s="55"/>
      <c r="C28" s="55"/>
      <c r="D28" s="57"/>
      <c r="E28" s="57"/>
      <c r="F28" s="55"/>
      <c r="G28" s="58"/>
      <c r="H28" s="58"/>
      <c r="I28" s="55"/>
      <c r="J28" s="55"/>
      <c r="K28" s="55"/>
      <c r="L28" s="55"/>
    </row>
    <row r="29">
      <c r="A29" s="60"/>
      <c r="B29" s="60"/>
      <c r="C29" s="60"/>
      <c r="D29" s="61"/>
      <c r="E29" s="61"/>
      <c r="F29" s="60"/>
      <c r="G29" s="62"/>
      <c r="H29" s="62"/>
      <c r="I29" s="60"/>
      <c r="J29" s="60"/>
      <c r="K29" s="60"/>
      <c r="L29" s="60"/>
    </row>
    <row r="30">
      <c r="A30" s="55"/>
      <c r="B30" s="55"/>
      <c r="C30" s="55"/>
      <c r="D30" s="57"/>
      <c r="E30" s="57"/>
      <c r="F30" s="55"/>
      <c r="G30" s="58"/>
      <c r="H30" s="58"/>
      <c r="I30" s="55"/>
      <c r="J30" s="55"/>
      <c r="K30" s="55"/>
      <c r="L30" s="55"/>
    </row>
    <row r="31">
      <c r="A31" s="60"/>
      <c r="B31" s="60"/>
      <c r="C31" s="60"/>
      <c r="D31" s="61"/>
      <c r="E31" s="61"/>
      <c r="F31" s="60"/>
      <c r="G31" s="62"/>
      <c r="H31" s="62"/>
      <c r="I31" s="60"/>
      <c r="J31" s="60"/>
      <c r="K31" s="60"/>
      <c r="L31" s="60"/>
    </row>
    <row r="32">
      <c r="A32" s="55"/>
      <c r="B32" s="55"/>
      <c r="C32" s="55"/>
      <c r="D32" s="57"/>
      <c r="E32" s="57"/>
      <c r="F32" s="55"/>
      <c r="G32" s="58"/>
      <c r="H32" s="58"/>
      <c r="I32" s="55"/>
      <c r="J32" s="55"/>
      <c r="K32" s="55"/>
      <c r="L32" s="55"/>
    </row>
    <row r="33">
      <c r="A33" s="60"/>
      <c r="B33" s="60"/>
      <c r="C33" s="60"/>
      <c r="D33" s="61"/>
      <c r="E33" s="61"/>
      <c r="F33" s="60"/>
      <c r="G33" s="62"/>
      <c r="H33" s="62"/>
      <c r="I33" s="60"/>
      <c r="J33" s="60"/>
      <c r="K33" s="60"/>
      <c r="L33" s="60"/>
    </row>
    <row r="34">
      <c r="A34" s="55"/>
      <c r="B34" s="55"/>
      <c r="C34" s="55"/>
      <c r="D34" s="57"/>
      <c r="E34" s="57"/>
      <c r="F34" s="55"/>
      <c r="G34" s="58"/>
      <c r="H34" s="58"/>
      <c r="I34" s="55"/>
      <c r="J34" s="55"/>
      <c r="K34" s="55"/>
      <c r="L34" s="55"/>
    </row>
    <row r="35">
      <c r="A35" s="60"/>
      <c r="B35" s="60"/>
      <c r="C35" s="60"/>
      <c r="D35" s="61"/>
      <c r="E35" s="61"/>
      <c r="F35" s="60"/>
      <c r="G35" s="62"/>
      <c r="H35" s="62"/>
      <c r="I35" s="60"/>
      <c r="J35" s="60"/>
      <c r="K35" s="60"/>
      <c r="L35" s="60"/>
    </row>
    <row r="36">
      <c r="A36" s="55"/>
      <c r="B36" s="55"/>
      <c r="C36" s="55"/>
      <c r="D36" s="57"/>
      <c r="E36" s="57"/>
      <c r="F36" s="55"/>
      <c r="G36" s="58"/>
      <c r="H36" s="58"/>
      <c r="I36" s="55"/>
      <c r="J36" s="55"/>
      <c r="K36" s="55"/>
      <c r="L36" s="55"/>
    </row>
    <row r="37">
      <c r="A37" s="60"/>
      <c r="B37" s="60"/>
      <c r="C37" s="60"/>
      <c r="D37" s="61"/>
      <c r="E37" s="61"/>
      <c r="F37" s="60"/>
      <c r="G37" s="62"/>
      <c r="H37" s="62"/>
      <c r="I37" s="60"/>
      <c r="J37" s="60"/>
      <c r="K37" s="60"/>
      <c r="L37" s="60"/>
    </row>
    <row r="38">
      <c r="A38" s="55"/>
      <c r="B38" s="55"/>
      <c r="C38" s="55"/>
      <c r="D38" s="57"/>
      <c r="E38" s="57"/>
      <c r="F38" s="55"/>
      <c r="G38" s="58"/>
      <c r="H38" s="58"/>
      <c r="I38" s="55"/>
      <c r="J38" s="55"/>
      <c r="K38" s="55"/>
      <c r="L38" s="55"/>
    </row>
    <row r="39">
      <c r="A39" s="60"/>
      <c r="B39" s="60"/>
      <c r="C39" s="60"/>
      <c r="D39" s="61"/>
      <c r="E39" s="61"/>
      <c r="F39" s="60"/>
      <c r="G39" s="62"/>
      <c r="H39" s="62"/>
      <c r="I39" s="60"/>
      <c r="J39" s="60"/>
      <c r="K39" s="60"/>
      <c r="L39" s="60"/>
    </row>
    <row r="40">
      <c r="A40" s="55"/>
      <c r="B40" s="55"/>
      <c r="C40" s="55"/>
      <c r="D40" s="57"/>
      <c r="E40" s="57"/>
      <c r="F40" s="55"/>
      <c r="G40" s="58"/>
      <c r="H40" s="58"/>
      <c r="I40" s="55"/>
      <c r="J40" s="55"/>
      <c r="K40" s="55"/>
      <c r="L40" s="55"/>
    </row>
    <row r="41">
      <c r="A41" s="60"/>
      <c r="B41" s="60"/>
      <c r="C41" s="60"/>
      <c r="D41" s="61"/>
      <c r="E41" s="61"/>
      <c r="F41" s="60"/>
      <c r="G41" s="62"/>
      <c r="H41" s="62"/>
      <c r="I41" s="60"/>
      <c r="J41" s="60"/>
      <c r="K41" s="60"/>
      <c r="L41" s="60"/>
    </row>
    <row r="42">
      <c r="A42" s="55"/>
      <c r="B42" s="55"/>
      <c r="C42" s="55"/>
      <c r="D42" s="57"/>
      <c r="E42" s="57"/>
      <c r="F42" s="55"/>
      <c r="G42" s="58"/>
      <c r="H42" s="58"/>
      <c r="I42" s="55"/>
      <c r="J42" s="55"/>
      <c r="K42" s="55"/>
      <c r="L42" s="55"/>
    </row>
    <row r="43">
      <c r="A43" s="60"/>
      <c r="B43" s="60"/>
      <c r="C43" s="60"/>
      <c r="D43" s="61"/>
      <c r="E43" s="61"/>
      <c r="F43" s="60"/>
      <c r="G43" s="62"/>
      <c r="H43" s="62"/>
      <c r="I43" s="60"/>
      <c r="J43" s="60"/>
      <c r="K43" s="60"/>
      <c r="L43" s="60"/>
    </row>
    <row r="44">
      <c r="A44" s="55"/>
      <c r="B44" s="55"/>
      <c r="C44" s="55"/>
      <c r="D44" s="57"/>
      <c r="E44" s="57"/>
      <c r="F44" s="55"/>
      <c r="G44" s="58"/>
      <c r="H44" s="58"/>
      <c r="I44" s="55"/>
      <c r="J44" s="55"/>
      <c r="K44" s="55"/>
      <c r="L44" s="55"/>
    </row>
    <row r="45">
      <c r="A45" s="60"/>
      <c r="B45" s="60"/>
      <c r="C45" s="60"/>
      <c r="D45" s="61"/>
      <c r="E45" s="61"/>
      <c r="F45" s="60"/>
      <c r="G45" s="62"/>
      <c r="H45" s="62"/>
      <c r="I45" s="60"/>
      <c r="J45" s="60"/>
      <c r="K45" s="60"/>
      <c r="L45" s="60"/>
    </row>
    <row r="46">
      <c r="A46" s="55"/>
      <c r="B46" s="55"/>
      <c r="C46" s="55"/>
      <c r="D46" s="57"/>
      <c r="E46" s="57"/>
      <c r="F46" s="55"/>
      <c r="G46" s="58"/>
      <c r="H46" s="58"/>
      <c r="I46" s="55"/>
      <c r="J46" s="55"/>
      <c r="K46" s="55"/>
      <c r="L46" s="55"/>
    </row>
    <row r="47">
      <c r="A47" s="60"/>
      <c r="B47" s="60"/>
      <c r="C47" s="60"/>
      <c r="D47" s="61"/>
      <c r="E47" s="61"/>
      <c r="F47" s="60"/>
      <c r="G47" s="62"/>
      <c r="H47" s="62"/>
      <c r="I47" s="60"/>
      <c r="J47" s="60"/>
      <c r="K47" s="60"/>
      <c r="L47" s="60"/>
    </row>
    <row r="48">
      <c r="A48" s="55"/>
      <c r="B48" s="55"/>
      <c r="C48" s="55"/>
      <c r="D48" s="57"/>
      <c r="E48" s="57"/>
      <c r="F48" s="55"/>
      <c r="G48" s="58"/>
      <c r="H48" s="58"/>
      <c r="I48" s="55"/>
      <c r="J48" s="55"/>
      <c r="K48" s="55"/>
      <c r="L48" s="55"/>
    </row>
    <row r="49">
      <c r="A49" s="60"/>
      <c r="B49" s="60"/>
      <c r="C49" s="60"/>
      <c r="D49" s="61"/>
      <c r="E49" s="61"/>
      <c r="F49" s="60"/>
      <c r="G49" s="62"/>
      <c r="H49" s="62"/>
      <c r="I49" s="60"/>
      <c r="J49" s="60"/>
      <c r="K49" s="60"/>
      <c r="L49" s="60"/>
    </row>
    <row r="50">
      <c r="A50" s="55"/>
      <c r="B50" s="55"/>
      <c r="C50" s="55"/>
      <c r="D50" s="57"/>
      <c r="E50" s="57"/>
      <c r="F50" s="55"/>
      <c r="G50" s="58"/>
      <c r="H50" s="58"/>
      <c r="I50" s="55"/>
      <c r="J50" s="55"/>
      <c r="K50" s="55"/>
      <c r="L50" s="55"/>
    </row>
    <row r="51">
      <c r="A51" s="60"/>
      <c r="B51" s="60"/>
      <c r="C51" s="60"/>
      <c r="D51" s="61"/>
      <c r="E51" s="61"/>
      <c r="F51" s="60"/>
      <c r="G51" s="62"/>
      <c r="H51" s="62"/>
      <c r="I51" s="60"/>
      <c r="J51" s="60"/>
      <c r="K51" s="60"/>
      <c r="L51" s="60"/>
    </row>
    <row r="52">
      <c r="A52" s="55"/>
      <c r="B52" s="55"/>
      <c r="C52" s="55"/>
      <c r="D52" s="57"/>
      <c r="E52" s="57"/>
      <c r="F52" s="55"/>
      <c r="G52" s="58"/>
      <c r="H52" s="58"/>
      <c r="I52" s="55"/>
      <c r="J52" s="55"/>
      <c r="K52" s="55"/>
      <c r="L52" s="55"/>
    </row>
    <row r="53">
      <c r="A53" s="60"/>
      <c r="B53" s="60"/>
      <c r="C53" s="60"/>
      <c r="D53" s="61"/>
      <c r="E53" s="61"/>
      <c r="F53" s="60"/>
      <c r="G53" s="62"/>
      <c r="H53" s="62"/>
      <c r="I53" s="60"/>
      <c r="J53" s="60"/>
      <c r="K53" s="60"/>
      <c r="L53" s="60"/>
    </row>
    <row r="54">
      <c r="A54" s="55"/>
      <c r="B54" s="55"/>
      <c r="C54" s="55"/>
      <c r="D54" s="57"/>
      <c r="E54" s="57"/>
      <c r="F54" s="55"/>
      <c r="G54" s="58"/>
      <c r="H54" s="58"/>
      <c r="I54" s="55"/>
      <c r="J54" s="55"/>
      <c r="K54" s="55"/>
      <c r="L54" s="55"/>
    </row>
    <row r="55">
      <c r="A55" s="60"/>
      <c r="B55" s="60"/>
      <c r="C55" s="60"/>
      <c r="D55" s="61"/>
      <c r="E55" s="61"/>
      <c r="F55" s="60"/>
      <c r="G55" s="62"/>
      <c r="H55" s="62"/>
      <c r="I55" s="60"/>
      <c r="J55" s="60"/>
      <c r="K55" s="60"/>
      <c r="L55" s="60"/>
    </row>
    <row r="56">
      <c r="A56" s="55"/>
      <c r="B56" s="55"/>
      <c r="C56" s="55"/>
      <c r="D56" s="57"/>
      <c r="E56" s="57"/>
      <c r="F56" s="55"/>
      <c r="G56" s="58"/>
      <c r="H56" s="58"/>
      <c r="I56" s="55"/>
      <c r="J56" s="55"/>
      <c r="K56" s="55"/>
      <c r="L56" s="55"/>
    </row>
    <row r="57">
      <c r="A57" s="60"/>
      <c r="B57" s="60"/>
      <c r="C57" s="60"/>
      <c r="D57" s="61"/>
      <c r="E57" s="61"/>
      <c r="F57" s="60"/>
      <c r="G57" s="62"/>
      <c r="H57" s="62"/>
      <c r="I57" s="60"/>
      <c r="J57" s="60"/>
      <c r="K57" s="60"/>
      <c r="L57" s="60"/>
    </row>
    <row r="58">
      <c r="A58" s="55"/>
      <c r="B58" s="55"/>
      <c r="C58" s="55"/>
      <c r="D58" s="57"/>
      <c r="E58" s="57"/>
      <c r="F58" s="55"/>
      <c r="G58" s="58"/>
      <c r="H58" s="58"/>
      <c r="I58" s="55"/>
      <c r="J58" s="55"/>
      <c r="K58" s="55"/>
      <c r="L58" s="55"/>
    </row>
    <row r="59">
      <c r="A59" s="60"/>
      <c r="B59" s="60"/>
      <c r="C59" s="60"/>
      <c r="D59" s="61"/>
      <c r="E59" s="61"/>
      <c r="F59" s="60"/>
      <c r="G59" s="62"/>
      <c r="H59" s="62"/>
      <c r="I59" s="60"/>
      <c r="J59" s="60"/>
      <c r="K59" s="60"/>
      <c r="L59" s="60"/>
    </row>
    <row r="60">
      <c r="A60" s="55"/>
      <c r="B60" s="55"/>
      <c r="C60" s="55"/>
      <c r="D60" s="57"/>
      <c r="E60" s="57"/>
      <c r="F60" s="55"/>
      <c r="G60" s="58"/>
      <c r="H60" s="58"/>
      <c r="I60" s="55"/>
      <c r="J60" s="55"/>
      <c r="K60" s="55"/>
      <c r="L60" s="55"/>
    </row>
    <row r="61">
      <c r="A61" s="60"/>
      <c r="B61" s="60"/>
      <c r="C61" s="60"/>
      <c r="D61" s="61"/>
      <c r="E61" s="61"/>
      <c r="F61" s="60"/>
      <c r="G61" s="62"/>
      <c r="H61" s="62"/>
      <c r="I61" s="60"/>
      <c r="J61" s="60"/>
      <c r="K61" s="60"/>
      <c r="L61" s="60"/>
    </row>
    <row r="62">
      <c r="A62" s="55"/>
      <c r="B62" s="55"/>
      <c r="C62" s="55"/>
      <c r="D62" s="57"/>
      <c r="E62" s="57"/>
      <c r="F62" s="55"/>
      <c r="G62" s="58"/>
      <c r="H62" s="58"/>
      <c r="I62" s="55"/>
      <c r="J62" s="55"/>
      <c r="K62" s="55"/>
      <c r="L62" s="55"/>
    </row>
    <row r="63">
      <c r="A63" s="60"/>
      <c r="B63" s="60"/>
      <c r="C63" s="60"/>
      <c r="D63" s="61"/>
      <c r="E63" s="61"/>
      <c r="F63" s="60"/>
      <c r="G63" s="62"/>
      <c r="H63" s="62"/>
      <c r="I63" s="60"/>
      <c r="J63" s="60"/>
      <c r="K63" s="60"/>
      <c r="L63" s="60"/>
    </row>
    <row r="64">
      <c r="A64" s="55"/>
      <c r="B64" s="55"/>
      <c r="C64" s="55"/>
      <c r="D64" s="57"/>
      <c r="E64" s="57"/>
      <c r="F64" s="55"/>
      <c r="G64" s="58"/>
      <c r="H64" s="58"/>
      <c r="I64" s="55"/>
      <c r="J64" s="55"/>
      <c r="K64" s="55"/>
      <c r="L64" s="55"/>
    </row>
    <row r="65">
      <c r="A65" s="60"/>
      <c r="B65" s="60"/>
      <c r="C65" s="60"/>
      <c r="D65" s="61"/>
      <c r="E65" s="61"/>
      <c r="F65" s="60"/>
      <c r="G65" s="62"/>
      <c r="H65" s="62"/>
      <c r="I65" s="60"/>
      <c r="J65" s="60"/>
      <c r="K65" s="60"/>
      <c r="L65" s="60"/>
    </row>
    <row r="66">
      <c r="A66" s="55"/>
      <c r="B66" s="55"/>
      <c r="C66" s="55"/>
      <c r="D66" s="57"/>
      <c r="E66" s="57"/>
      <c r="F66" s="55"/>
      <c r="G66" s="58"/>
      <c r="H66" s="58"/>
      <c r="I66" s="55"/>
      <c r="J66" s="55"/>
      <c r="K66" s="55"/>
      <c r="L66" s="55"/>
    </row>
    <row r="67">
      <c r="A67" s="60"/>
      <c r="B67" s="60"/>
      <c r="C67" s="60"/>
      <c r="D67" s="61"/>
      <c r="E67" s="61"/>
      <c r="F67" s="60"/>
      <c r="G67" s="62"/>
      <c r="H67" s="62"/>
      <c r="I67" s="60"/>
      <c r="J67" s="60"/>
      <c r="K67" s="60"/>
      <c r="L67" s="60"/>
    </row>
    <row r="68">
      <c r="A68" s="55"/>
      <c r="B68" s="55"/>
      <c r="C68" s="55"/>
      <c r="D68" s="57"/>
      <c r="E68" s="57"/>
      <c r="F68" s="55"/>
      <c r="G68" s="58"/>
      <c r="H68" s="58"/>
      <c r="I68" s="55"/>
      <c r="J68" s="55"/>
      <c r="K68" s="55"/>
      <c r="L68" s="55"/>
    </row>
    <row r="69">
      <c r="A69" s="60"/>
      <c r="B69" s="60"/>
      <c r="C69" s="60"/>
      <c r="D69" s="61"/>
      <c r="E69" s="61"/>
      <c r="F69" s="60"/>
      <c r="G69" s="62"/>
      <c r="H69" s="62"/>
      <c r="I69" s="60"/>
      <c r="J69" s="60"/>
      <c r="K69" s="60"/>
      <c r="L69" s="60"/>
    </row>
    <row r="70">
      <c r="A70" s="55"/>
      <c r="B70" s="55"/>
      <c r="C70" s="55"/>
      <c r="D70" s="57"/>
      <c r="E70" s="57"/>
      <c r="F70" s="55"/>
      <c r="G70" s="58"/>
      <c r="H70" s="58"/>
      <c r="I70" s="55"/>
      <c r="J70" s="55"/>
      <c r="K70" s="55"/>
      <c r="L70" s="55"/>
    </row>
    <row r="71">
      <c r="A71" s="60"/>
      <c r="B71" s="60"/>
      <c r="C71" s="60"/>
      <c r="D71" s="61"/>
      <c r="E71" s="61"/>
      <c r="F71" s="60"/>
      <c r="G71" s="62"/>
      <c r="H71" s="62"/>
      <c r="I71" s="60"/>
      <c r="J71" s="60"/>
      <c r="K71" s="60"/>
      <c r="L71" s="60"/>
    </row>
    <row r="72">
      <c r="A72" s="55"/>
      <c r="B72" s="55"/>
      <c r="C72" s="55"/>
      <c r="D72" s="57"/>
      <c r="E72" s="57"/>
      <c r="F72" s="55"/>
      <c r="G72" s="58"/>
      <c r="H72" s="58"/>
      <c r="I72" s="55"/>
      <c r="J72" s="55"/>
      <c r="K72" s="55"/>
      <c r="L72" s="55"/>
    </row>
    <row r="73">
      <c r="A73" s="60"/>
      <c r="B73" s="60"/>
      <c r="C73" s="60"/>
      <c r="D73" s="61"/>
      <c r="E73" s="61"/>
      <c r="F73" s="60"/>
      <c r="G73" s="62"/>
      <c r="H73" s="62"/>
      <c r="I73" s="60"/>
      <c r="J73" s="60"/>
      <c r="K73" s="60"/>
      <c r="L73" s="60"/>
    </row>
    <row r="74">
      <c r="A74" s="55"/>
      <c r="B74" s="55"/>
      <c r="C74" s="55"/>
      <c r="D74" s="57"/>
      <c r="E74" s="57"/>
      <c r="F74" s="55"/>
      <c r="G74" s="58"/>
      <c r="H74" s="58"/>
      <c r="I74" s="55"/>
      <c r="J74" s="55"/>
      <c r="K74" s="55"/>
      <c r="L74" s="55"/>
    </row>
    <row r="75">
      <c r="A75" s="60"/>
      <c r="B75" s="60"/>
      <c r="C75" s="60"/>
      <c r="D75" s="61"/>
      <c r="E75" s="61"/>
      <c r="F75" s="60"/>
      <c r="G75" s="62"/>
      <c r="H75" s="62"/>
      <c r="I75" s="60"/>
      <c r="J75" s="60"/>
      <c r="K75" s="60"/>
      <c r="L75" s="60"/>
    </row>
    <row r="76">
      <c r="A76" s="55"/>
      <c r="B76" s="55"/>
      <c r="C76" s="55"/>
      <c r="D76" s="57"/>
      <c r="E76" s="57"/>
      <c r="F76" s="55"/>
      <c r="G76" s="58"/>
      <c r="H76" s="58"/>
      <c r="I76" s="55"/>
      <c r="J76" s="55"/>
      <c r="K76" s="55"/>
      <c r="L76" s="55"/>
    </row>
    <row r="77">
      <c r="A77" s="60"/>
      <c r="B77" s="60"/>
      <c r="C77" s="60"/>
      <c r="D77" s="61"/>
      <c r="E77" s="61"/>
      <c r="F77" s="60"/>
      <c r="G77" s="62"/>
      <c r="H77" s="62"/>
      <c r="I77" s="60"/>
      <c r="J77" s="60"/>
      <c r="K77" s="60"/>
      <c r="L77" s="60"/>
    </row>
    <row r="78">
      <c r="A78" s="55"/>
      <c r="B78" s="55"/>
      <c r="C78" s="55"/>
      <c r="D78" s="57"/>
      <c r="E78" s="57"/>
      <c r="F78" s="55"/>
      <c r="G78" s="58"/>
      <c r="H78" s="58"/>
      <c r="I78" s="55"/>
      <c r="J78" s="55"/>
      <c r="K78" s="55"/>
      <c r="L78" s="55"/>
    </row>
    <row r="79">
      <c r="A79" s="60"/>
      <c r="B79" s="60"/>
      <c r="C79" s="60"/>
      <c r="D79" s="61"/>
      <c r="E79" s="61"/>
      <c r="F79" s="60"/>
      <c r="G79" s="62"/>
      <c r="H79" s="62"/>
      <c r="I79" s="60"/>
      <c r="J79" s="60"/>
      <c r="K79" s="60"/>
      <c r="L79" s="60"/>
    </row>
    <row r="80">
      <c r="A80" s="55"/>
      <c r="B80" s="55"/>
      <c r="C80" s="55"/>
      <c r="D80" s="57"/>
      <c r="E80" s="57"/>
      <c r="F80" s="55"/>
      <c r="G80" s="58"/>
      <c r="H80" s="58"/>
      <c r="I80" s="55"/>
      <c r="J80" s="55"/>
      <c r="K80" s="55"/>
      <c r="L80" s="55"/>
    </row>
    <row r="81">
      <c r="A81" s="60"/>
      <c r="B81" s="60"/>
      <c r="C81" s="60"/>
      <c r="D81" s="61"/>
      <c r="E81" s="61"/>
      <c r="F81" s="60"/>
      <c r="G81" s="62"/>
      <c r="H81" s="62"/>
      <c r="I81" s="60"/>
      <c r="J81" s="60"/>
      <c r="K81" s="60"/>
      <c r="L81" s="60"/>
    </row>
    <row r="82">
      <c r="A82" s="55"/>
      <c r="B82" s="55"/>
      <c r="C82" s="55"/>
      <c r="D82" s="57"/>
      <c r="E82" s="57"/>
      <c r="F82" s="55"/>
      <c r="G82" s="58"/>
      <c r="H82" s="58"/>
      <c r="I82" s="55"/>
      <c r="J82" s="55"/>
      <c r="K82" s="55"/>
      <c r="L82" s="55"/>
    </row>
    <row r="83">
      <c r="A83" s="60"/>
      <c r="B83" s="60"/>
      <c r="C83" s="60"/>
      <c r="D83" s="61"/>
      <c r="E83" s="61"/>
      <c r="F83" s="60"/>
      <c r="G83" s="62"/>
      <c r="H83" s="62"/>
      <c r="I83" s="60"/>
      <c r="J83" s="60"/>
      <c r="K83" s="60"/>
      <c r="L83" s="60"/>
    </row>
    <row r="84">
      <c r="A84" s="55"/>
      <c r="B84" s="55"/>
      <c r="C84" s="55"/>
      <c r="D84" s="57"/>
      <c r="E84" s="57"/>
      <c r="F84" s="55"/>
      <c r="G84" s="58"/>
      <c r="H84" s="58"/>
      <c r="I84" s="55"/>
      <c r="J84" s="55"/>
      <c r="K84" s="55"/>
      <c r="L84" s="55"/>
    </row>
    <row r="85">
      <c r="A85" s="60"/>
      <c r="B85" s="60"/>
      <c r="C85" s="60"/>
      <c r="D85" s="61"/>
      <c r="E85" s="61"/>
      <c r="F85" s="60"/>
      <c r="G85" s="62"/>
      <c r="H85" s="62"/>
      <c r="I85" s="60"/>
      <c r="J85" s="60"/>
      <c r="K85" s="60"/>
      <c r="L85" s="60"/>
    </row>
    <row r="86">
      <c r="A86" s="55"/>
      <c r="B86" s="55"/>
      <c r="C86" s="55"/>
      <c r="D86" s="57"/>
      <c r="E86" s="57"/>
      <c r="F86" s="55"/>
      <c r="G86" s="58"/>
      <c r="H86" s="58"/>
      <c r="I86" s="55"/>
      <c r="J86" s="55"/>
      <c r="K86" s="55"/>
      <c r="L86" s="55"/>
    </row>
    <row r="87">
      <c r="A87" s="60"/>
      <c r="B87" s="60"/>
      <c r="C87" s="60"/>
      <c r="D87" s="61"/>
      <c r="E87" s="61"/>
      <c r="F87" s="60"/>
      <c r="G87" s="62"/>
      <c r="H87" s="62"/>
      <c r="I87" s="60"/>
      <c r="J87" s="60"/>
      <c r="K87" s="60"/>
      <c r="L87" s="60"/>
    </row>
    <row r="88">
      <c r="A88" s="55"/>
      <c r="B88" s="55"/>
      <c r="C88" s="55"/>
      <c r="D88" s="57"/>
      <c r="E88" s="57"/>
      <c r="F88" s="55"/>
      <c r="G88" s="58"/>
      <c r="H88" s="58"/>
      <c r="I88" s="55"/>
      <c r="J88" s="55"/>
      <c r="K88" s="55"/>
      <c r="L88" s="55"/>
    </row>
    <row r="89">
      <c r="A89" s="60"/>
      <c r="B89" s="60"/>
      <c r="C89" s="60"/>
      <c r="D89" s="61"/>
      <c r="E89" s="61"/>
      <c r="F89" s="60"/>
      <c r="G89" s="62"/>
      <c r="H89" s="62"/>
      <c r="I89" s="60"/>
      <c r="J89" s="60"/>
      <c r="K89" s="60"/>
      <c r="L89" s="60"/>
    </row>
    <row r="90">
      <c r="A90" s="55"/>
      <c r="B90" s="55"/>
      <c r="C90" s="55"/>
      <c r="D90" s="57"/>
      <c r="E90" s="57"/>
      <c r="F90" s="55"/>
      <c r="G90" s="58"/>
      <c r="H90" s="58"/>
      <c r="I90" s="55"/>
      <c r="J90" s="55"/>
      <c r="K90" s="55"/>
      <c r="L90" s="55"/>
    </row>
    <row r="91">
      <c r="A91" s="60"/>
      <c r="B91" s="60"/>
      <c r="C91" s="60"/>
      <c r="D91" s="61"/>
      <c r="E91" s="61"/>
      <c r="F91" s="60"/>
      <c r="G91" s="62"/>
      <c r="H91" s="62"/>
      <c r="I91" s="60"/>
      <c r="J91" s="60"/>
      <c r="K91" s="60"/>
      <c r="L91" s="60"/>
    </row>
    <row r="92">
      <c r="A92" s="55"/>
      <c r="B92" s="55"/>
      <c r="C92" s="55"/>
      <c r="D92" s="57"/>
      <c r="E92" s="57"/>
      <c r="F92" s="55"/>
      <c r="G92" s="58"/>
      <c r="H92" s="58"/>
      <c r="I92" s="55"/>
      <c r="J92" s="55"/>
      <c r="K92" s="55"/>
      <c r="L92" s="55"/>
    </row>
    <row r="93">
      <c r="A93" s="60"/>
      <c r="B93" s="60"/>
      <c r="C93" s="60"/>
      <c r="D93" s="61"/>
      <c r="E93" s="61"/>
      <c r="F93" s="60"/>
      <c r="G93" s="62"/>
      <c r="H93" s="62"/>
      <c r="I93" s="60"/>
      <c r="J93" s="60"/>
      <c r="K93" s="60"/>
      <c r="L93" s="60"/>
    </row>
    <row r="94">
      <c r="A94" s="55"/>
      <c r="B94" s="55"/>
      <c r="C94" s="55"/>
      <c r="D94" s="57"/>
      <c r="E94" s="57"/>
      <c r="F94" s="55"/>
      <c r="G94" s="58"/>
      <c r="H94" s="58"/>
      <c r="I94" s="55"/>
      <c r="J94" s="55"/>
      <c r="K94" s="55"/>
      <c r="L94" s="55"/>
    </row>
    <row r="95">
      <c r="A95" s="60"/>
      <c r="B95" s="60"/>
      <c r="C95" s="60"/>
      <c r="D95" s="61"/>
      <c r="E95" s="61"/>
      <c r="F95" s="60"/>
      <c r="G95" s="62"/>
      <c r="H95" s="62"/>
      <c r="I95" s="60"/>
      <c r="J95" s="60"/>
      <c r="K95" s="60"/>
      <c r="L95" s="60"/>
    </row>
    <row r="96">
      <c r="A96" s="55"/>
      <c r="B96" s="55"/>
      <c r="C96" s="55"/>
      <c r="D96" s="57"/>
      <c r="E96" s="57"/>
      <c r="F96" s="55"/>
      <c r="G96" s="58"/>
      <c r="H96" s="58"/>
      <c r="I96" s="55"/>
      <c r="J96" s="55"/>
      <c r="K96" s="55"/>
      <c r="L96" s="55"/>
    </row>
    <row r="97">
      <c r="A97" s="60"/>
      <c r="B97" s="60"/>
      <c r="C97" s="60"/>
      <c r="D97" s="61"/>
      <c r="E97" s="61"/>
      <c r="F97" s="60"/>
      <c r="G97" s="62"/>
      <c r="H97" s="62"/>
      <c r="I97" s="60"/>
      <c r="J97" s="60"/>
      <c r="K97" s="60"/>
      <c r="L97" s="60"/>
    </row>
    <row r="98">
      <c r="A98" s="55"/>
      <c r="B98" s="55"/>
      <c r="C98" s="55"/>
      <c r="D98" s="57"/>
      <c r="E98" s="57"/>
      <c r="F98" s="55"/>
      <c r="G98" s="58"/>
      <c r="H98" s="58"/>
      <c r="I98" s="55"/>
      <c r="J98" s="55"/>
      <c r="K98" s="55"/>
      <c r="L98" s="55"/>
    </row>
    <row r="99">
      <c r="A99" s="60"/>
      <c r="B99" s="60"/>
      <c r="C99" s="60"/>
      <c r="D99" s="61"/>
      <c r="E99" s="61"/>
      <c r="F99" s="60"/>
      <c r="G99" s="62"/>
      <c r="H99" s="62"/>
      <c r="I99" s="60"/>
      <c r="J99" s="60"/>
      <c r="K99" s="60"/>
      <c r="L99" s="60"/>
    </row>
    <row r="100">
      <c r="A100" s="55"/>
      <c r="B100" s="55"/>
      <c r="C100" s="55"/>
      <c r="D100" s="57"/>
      <c r="E100" s="57"/>
      <c r="F100" s="55"/>
      <c r="G100" s="58"/>
      <c r="H100" s="58"/>
      <c r="I100" s="55"/>
      <c r="J100" s="55"/>
      <c r="K100" s="55"/>
      <c r="L100" s="55"/>
    </row>
    <row r="101">
      <c r="A101" s="60"/>
      <c r="B101" s="60"/>
      <c r="C101" s="60"/>
      <c r="D101" s="61"/>
      <c r="E101" s="61"/>
      <c r="F101" s="60"/>
      <c r="G101" s="62"/>
      <c r="H101" s="62"/>
      <c r="I101" s="60"/>
      <c r="J101" s="60"/>
      <c r="K101" s="60"/>
      <c r="L101" s="60"/>
    </row>
    <row r="102">
      <c r="A102" s="55"/>
      <c r="B102" s="55"/>
      <c r="C102" s="55"/>
      <c r="D102" s="57"/>
      <c r="E102" s="57"/>
      <c r="F102" s="55"/>
      <c r="G102" s="58"/>
      <c r="H102" s="58"/>
      <c r="I102" s="55"/>
      <c r="J102" s="55"/>
      <c r="K102" s="55"/>
      <c r="L102" s="55"/>
    </row>
    <row r="103">
      <c r="A103" s="60"/>
      <c r="B103" s="60"/>
      <c r="C103" s="60"/>
      <c r="D103" s="61"/>
      <c r="E103" s="61"/>
      <c r="F103" s="60"/>
      <c r="G103" s="62"/>
      <c r="H103" s="62"/>
      <c r="I103" s="60"/>
      <c r="J103" s="60"/>
      <c r="K103" s="60"/>
      <c r="L103" s="60"/>
    </row>
    <row r="104">
      <c r="A104" s="55"/>
      <c r="B104" s="55"/>
      <c r="C104" s="55"/>
      <c r="D104" s="57"/>
      <c r="E104" s="57"/>
      <c r="F104" s="55"/>
      <c r="G104" s="58"/>
      <c r="H104" s="58"/>
      <c r="I104" s="55"/>
      <c r="J104" s="55"/>
      <c r="K104" s="55"/>
      <c r="L104" s="55"/>
    </row>
    <row r="105">
      <c r="A105" s="60"/>
      <c r="B105" s="60"/>
      <c r="C105" s="60"/>
      <c r="D105" s="61"/>
      <c r="E105" s="61"/>
      <c r="F105" s="60"/>
      <c r="G105" s="62"/>
      <c r="H105" s="62"/>
      <c r="I105" s="60"/>
      <c r="J105" s="60"/>
      <c r="K105" s="60"/>
      <c r="L105" s="60"/>
    </row>
    <row r="106">
      <c r="A106" s="55"/>
      <c r="B106" s="55"/>
      <c r="C106" s="55"/>
      <c r="D106" s="57"/>
      <c r="E106" s="57"/>
      <c r="F106" s="55"/>
      <c r="G106" s="58"/>
      <c r="H106" s="58"/>
      <c r="I106" s="55"/>
      <c r="J106" s="55"/>
      <c r="K106" s="55"/>
      <c r="L106" s="55"/>
    </row>
    <row r="107">
      <c r="A107" s="60"/>
      <c r="B107" s="60"/>
      <c r="C107" s="60"/>
      <c r="D107" s="61"/>
      <c r="E107" s="61"/>
      <c r="F107" s="60"/>
      <c r="G107" s="62"/>
      <c r="H107" s="62"/>
      <c r="I107" s="60"/>
      <c r="J107" s="60"/>
      <c r="K107" s="60"/>
      <c r="L107" s="60"/>
    </row>
    <row r="108">
      <c r="A108" s="55"/>
      <c r="B108" s="55"/>
      <c r="C108" s="55"/>
      <c r="D108" s="57"/>
      <c r="E108" s="57"/>
      <c r="F108" s="55"/>
      <c r="G108" s="58"/>
      <c r="H108" s="58"/>
      <c r="I108" s="55"/>
      <c r="J108" s="55"/>
      <c r="K108" s="55"/>
      <c r="L108" s="55"/>
    </row>
    <row r="109">
      <c r="A109" s="60"/>
      <c r="B109" s="60"/>
      <c r="C109" s="60"/>
      <c r="D109" s="61"/>
      <c r="E109" s="61"/>
      <c r="F109" s="60"/>
      <c r="G109" s="62"/>
      <c r="H109" s="62"/>
      <c r="I109" s="60"/>
      <c r="J109" s="60"/>
      <c r="K109" s="60"/>
      <c r="L109" s="60"/>
    </row>
    <row r="110">
      <c r="A110" s="55"/>
      <c r="B110" s="55"/>
      <c r="C110" s="55"/>
      <c r="D110" s="57"/>
      <c r="E110" s="57"/>
      <c r="F110" s="55"/>
      <c r="G110" s="58"/>
      <c r="H110" s="58"/>
      <c r="I110" s="55"/>
      <c r="J110" s="55"/>
      <c r="K110" s="55"/>
      <c r="L110" s="55"/>
    </row>
    <row r="111">
      <c r="A111" s="60"/>
      <c r="B111" s="60"/>
      <c r="C111" s="60"/>
      <c r="D111" s="61"/>
      <c r="E111" s="61"/>
      <c r="F111" s="60"/>
      <c r="G111" s="62"/>
      <c r="H111" s="62"/>
      <c r="I111" s="60"/>
      <c r="J111" s="60"/>
      <c r="K111" s="60"/>
      <c r="L111" s="60"/>
    </row>
    <row r="112">
      <c r="A112" s="55"/>
      <c r="B112" s="55"/>
      <c r="C112" s="55"/>
      <c r="D112" s="57"/>
      <c r="E112" s="57"/>
      <c r="F112" s="55"/>
      <c r="G112" s="58"/>
      <c r="H112" s="58"/>
      <c r="I112" s="55"/>
      <c r="J112" s="55"/>
      <c r="K112" s="55"/>
      <c r="L112" s="55"/>
    </row>
    <row r="113">
      <c r="A113" s="60"/>
      <c r="B113" s="60"/>
      <c r="C113" s="60"/>
      <c r="D113" s="61"/>
      <c r="E113" s="61"/>
      <c r="F113" s="60"/>
      <c r="G113" s="62"/>
      <c r="H113" s="62"/>
      <c r="I113" s="60"/>
      <c r="J113" s="60"/>
      <c r="K113" s="60"/>
      <c r="L113" s="60"/>
    </row>
    <row r="114">
      <c r="A114" s="55"/>
      <c r="B114" s="55"/>
      <c r="C114" s="55"/>
      <c r="D114" s="57"/>
      <c r="E114" s="57"/>
      <c r="F114" s="55"/>
      <c r="G114" s="58"/>
      <c r="H114" s="58"/>
      <c r="I114" s="55"/>
      <c r="J114" s="55"/>
      <c r="K114" s="55"/>
      <c r="L114" s="55"/>
    </row>
    <row r="115">
      <c r="A115" s="60"/>
      <c r="B115" s="60"/>
      <c r="C115" s="60"/>
      <c r="D115" s="61"/>
      <c r="E115" s="61"/>
      <c r="F115" s="60"/>
      <c r="G115" s="62"/>
      <c r="H115" s="62"/>
      <c r="I115" s="60"/>
      <c r="J115" s="60"/>
      <c r="K115" s="60"/>
      <c r="L115" s="60"/>
    </row>
    <row r="116">
      <c r="A116" s="55"/>
      <c r="B116" s="55"/>
      <c r="C116" s="55"/>
      <c r="D116" s="57"/>
      <c r="E116" s="57"/>
      <c r="F116" s="55"/>
      <c r="G116" s="58"/>
      <c r="H116" s="58"/>
      <c r="I116" s="55"/>
      <c r="J116" s="55"/>
      <c r="K116" s="55"/>
      <c r="L116" s="55"/>
    </row>
    <row r="117">
      <c r="A117" s="60"/>
      <c r="B117" s="60"/>
      <c r="C117" s="60"/>
      <c r="D117" s="61"/>
      <c r="E117" s="61"/>
      <c r="F117" s="60"/>
      <c r="G117" s="62"/>
      <c r="H117" s="62"/>
      <c r="I117" s="60"/>
      <c r="J117" s="60"/>
      <c r="K117" s="60"/>
      <c r="L117" s="60"/>
    </row>
    <row r="118">
      <c r="A118" s="55"/>
      <c r="B118" s="55"/>
      <c r="C118" s="55"/>
      <c r="D118" s="57"/>
      <c r="E118" s="57"/>
      <c r="F118" s="55"/>
      <c r="G118" s="58"/>
      <c r="H118" s="58"/>
      <c r="I118" s="55"/>
      <c r="J118" s="55"/>
      <c r="K118" s="55"/>
      <c r="L118" s="55"/>
    </row>
    <row r="119">
      <c r="A119" s="60"/>
      <c r="B119" s="60"/>
      <c r="C119" s="60"/>
      <c r="D119" s="61"/>
      <c r="E119" s="61"/>
      <c r="F119" s="60"/>
      <c r="G119" s="62"/>
      <c r="H119" s="62"/>
      <c r="I119" s="60"/>
      <c r="J119" s="60"/>
      <c r="K119" s="60"/>
      <c r="L119" s="60"/>
    </row>
    <row r="120">
      <c r="A120" s="55"/>
      <c r="B120" s="55"/>
      <c r="C120" s="55"/>
      <c r="D120" s="57"/>
      <c r="E120" s="57"/>
      <c r="F120" s="55"/>
      <c r="G120" s="58"/>
      <c r="H120" s="58"/>
      <c r="I120" s="55"/>
      <c r="J120" s="55"/>
      <c r="K120" s="55"/>
      <c r="L120" s="55"/>
    </row>
    <row r="121">
      <c r="A121" s="60"/>
      <c r="B121" s="60"/>
      <c r="C121" s="60"/>
      <c r="D121" s="61"/>
      <c r="E121" s="61"/>
      <c r="F121" s="60"/>
      <c r="G121" s="62"/>
      <c r="H121" s="62"/>
      <c r="I121" s="60"/>
      <c r="J121" s="60"/>
      <c r="K121" s="60"/>
      <c r="L121" s="60"/>
    </row>
    <row r="122">
      <c r="A122" s="55"/>
      <c r="B122" s="55"/>
      <c r="C122" s="55"/>
      <c r="D122" s="57"/>
      <c r="E122" s="57"/>
      <c r="F122" s="55"/>
      <c r="G122" s="58"/>
      <c r="H122" s="58"/>
      <c r="I122" s="55"/>
      <c r="J122" s="55"/>
      <c r="K122" s="55"/>
      <c r="L122" s="55"/>
    </row>
    <row r="123">
      <c r="A123" s="60"/>
      <c r="B123" s="60"/>
      <c r="C123" s="60"/>
      <c r="D123" s="61"/>
      <c r="E123" s="61"/>
      <c r="F123" s="60"/>
      <c r="G123" s="62"/>
      <c r="H123" s="62"/>
      <c r="I123" s="60"/>
      <c r="J123" s="60"/>
      <c r="K123" s="60"/>
      <c r="L123" s="60"/>
    </row>
    <row r="124">
      <c r="A124" s="55"/>
      <c r="B124" s="55"/>
      <c r="C124" s="55"/>
      <c r="D124" s="57"/>
      <c r="E124" s="57"/>
      <c r="F124" s="55"/>
      <c r="G124" s="58"/>
      <c r="H124" s="58"/>
      <c r="I124" s="55"/>
      <c r="J124" s="55"/>
      <c r="K124" s="55"/>
      <c r="L124" s="55"/>
    </row>
    <row r="125">
      <c r="A125" s="60"/>
      <c r="B125" s="60"/>
      <c r="C125" s="60"/>
      <c r="D125" s="61"/>
      <c r="E125" s="61"/>
      <c r="F125" s="60"/>
      <c r="G125" s="62"/>
      <c r="H125" s="62"/>
      <c r="I125" s="60"/>
      <c r="J125" s="60"/>
      <c r="K125" s="60"/>
      <c r="L125" s="60"/>
    </row>
    <row r="126">
      <c r="A126" s="55"/>
      <c r="B126" s="55"/>
      <c r="C126" s="55"/>
      <c r="D126" s="57"/>
      <c r="E126" s="57"/>
      <c r="F126" s="55"/>
      <c r="G126" s="58"/>
      <c r="H126" s="58"/>
      <c r="I126" s="55"/>
      <c r="J126" s="55"/>
      <c r="K126" s="55"/>
      <c r="L126" s="55"/>
    </row>
    <row r="127">
      <c r="A127" s="60"/>
      <c r="B127" s="60"/>
      <c r="C127" s="60"/>
      <c r="D127" s="61"/>
      <c r="E127" s="61"/>
      <c r="F127" s="60"/>
      <c r="G127" s="62"/>
      <c r="H127" s="62"/>
      <c r="I127" s="60"/>
      <c r="J127" s="60"/>
      <c r="K127" s="60"/>
      <c r="L127" s="60"/>
    </row>
    <row r="128">
      <c r="A128" s="55"/>
      <c r="B128" s="55"/>
      <c r="C128" s="55"/>
      <c r="D128" s="57"/>
      <c r="E128" s="57"/>
      <c r="F128" s="55"/>
      <c r="G128" s="58"/>
      <c r="H128" s="58"/>
      <c r="I128" s="55"/>
      <c r="J128" s="55"/>
      <c r="K128" s="55"/>
      <c r="L128" s="55"/>
    </row>
    <row r="129">
      <c r="A129" s="60"/>
      <c r="B129" s="60"/>
      <c r="C129" s="60"/>
      <c r="D129" s="61"/>
      <c r="E129" s="61"/>
      <c r="F129" s="60"/>
      <c r="G129" s="62"/>
      <c r="H129" s="62"/>
      <c r="I129" s="60"/>
      <c r="J129" s="60"/>
      <c r="K129" s="60"/>
      <c r="L129" s="60"/>
    </row>
    <row r="130">
      <c r="A130" s="55"/>
      <c r="B130" s="55"/>
      <c r="C130" s="55"/>
      <c r="D130" s="57"/>
      <c r="E130" s="57"/>
      <c r="F130" s="55"/>
      <c r="G130" s="58"/>
      <c r="H130" s="58"/>
      <c r="I130" s="55"/>
      <c r="J130" s="55"/>
      <c r="K130" s="55"/>
      <c r="L130" s="55"/>
    </row>
    <row r="131">
      <c r="A131" s="60"/>
      <c r="B131" s="60"/>
      <c r="C131" s="60"/>
      <c r="D131" s="61"/>
      <c r="E131" s="61"/>
      <c r="F131" s="60"/>
      <c r="G131" s="62"/>
      <c r="H131" s="62"/>
      <c r="I131" s="60"/>
      <c r="J131" s="60"/>
      <c r="K131" s="60"/>
      <c r="L131" s="60"/>
    </row>
    <row r="132">
      <c r="A132" s="55"/>
      <c r="B132" s="55"/>
      <c r="C132" s="55"/>
      <c r="D132" s="57"/>
      <c r="E132" s="57"/>
      <c r="F132" s="55"/>
      <c r="G132" s="58"/>
      <c r="H132" s="58"/>
      <c r="I132" s="55"/>
      <c r="J132" s="55"/>
      <c r="K132" s="55"/>
      <c r="L132" s="55"/>
    </row>
    <row r="133">
      <c r="A133" s="60"/>
      <c r="B133" s="60"/>
      <c r="C133" s="60"/>
      <c r="D133" s="61"/>
      <c r="E133" s="61"/>
      <c r="F133" s="60"/>
      <c r="G133" s="62"/>
      <c r="H133" s="62"/>
      <c r="I133" s="60"/>
      <c r="J133" s="60"/>
      <c r="K133" s="60"/>
      <c r="L133" s="60"/>
    </row>
    <row r="134">
      <c r="A134" s="55"/>
      <c r="B134" s="55"/>
      <c r="C134" s="55"/>
      <c r="D134" s="57"/>
      <c r="E134" s="57"/>
      <c r="F134" s="55"/>
      <c r="G134" s="58"/>
      <c r="H134" s="58"/>
      <c r="I134" s="55"/>
      <c r="J134" s="55"/>
      <c r="K134" s="55"/>
      <c r="L134" s="55"/>
    </row>
    <row r="135">
      <c r="A135" s="60"/>
      <c r="B135" s="60"/>
      <c r="C135" s="60"/>
      <c r="D135" s="61"/>
      <c r="E135" s="61"/>
      <c r="F135" s="60"/>
      <c r="G135" s="62"/>
      <c r="H135" s="62"/>
      <c r="I135" s="60"/>
      <c r="J135" s="60"/>
      <c r="K135" s="60"/>
      <c r="L135" s="60"/>
    </row>
    <row r="136">
      <c r="A136" s="55"/>
      <c r="B136" s="55"/>
      <c r="C136" s="55"/>
      <c r="D136" s="57"/>
      <c r="E136" s="57"/>
      <c r="F136" s="55"/>
      <c r="G136" s="58"/>
      <c r="H136" s="58"/>
      <c r="I136" s="55"/>
      <c r="J136" s="55"/>
      <c r="K136" s="55"/>
      <c r="L136" s="55"/>
    </row>
    <row r="137">
      <c r="A137" s="60"/>
      <c r="B137" s="60"/>
      <c r="C137" s="60"/>
      <c r="D137" s="61"/>
      <c r="E137" s="61"/>
      <c r="F137" s="60"/>
      <c r="G137" s="62"/>
      <c r="H137" s="62"/>
      <c r="I137" s="60"/>
      <c r="J137" s="60"/>
      <c r="K137" s="60"/>
      <c r="L137" s="60"/>
    </row>
    <row r="138">
      <c r="A138" s="55"/>
      <c r="B138" s="55"/>
      <c r="C138" s="55"/>
      <c r="D138" s="57"/>
      <c r="E138" s="57"/>
      <c r="F138" s="55"/>
      <c r="G138" s="58"/>
      <c r="H138" s="58"/>
      <c r="I138" s="55"/>
      <c r="J138" s="55"/>
      <c r="K138" s="55"/>
      <c r="L138" s="55"/>
    </row>
    <row r="139">
      <c r="A139" s="60"/>
      <c r="B139" s="60"/>
      <c r="C139" s="60"/>
      <c r="D139" s="61"/>
      <c r="E139" s="61"/>
      <c r="F139" s="60"/>
      <c r="G139" s="62"/>
      <c r="H139" s="62"/>
      <c r="I139" s="60"/>
      <c r="J139" s="60"/>
      <c r="K139" s="60"/>
      <c r="L139" s="60"/>
    </row>
    <row r="140">
      <c r="A140" s="55"/>
      <c r="B140" s="55"/>
      <c r="C140" s="55"/>
      <c r="D140" s="57"/>
      <c r="E140" s="57"/>
      <c r="F140" s="55"/>
      <c r="G140" s="58"/>
      <c r="H140" s="58"/>
      <c r="I140" s="55"/>
      <c r="J140" s="55"/>
      <c r="K140" s="55"/>
      <c r="L140" s="55"/>
    </row>
    <row r="141">
      <c r="A141" s="60"/>
      <c r="B141" s="60"/>
      <c r="C141" s="60"/>
      <c r="D141" s="61"/>
      <c r="E141" s="61"/>
      <c r="F141" s="60"/>
      <c r="G141" s="62"/>
      <c r="H141" s="62"/>
      <c r="I141" s="60"/>
      <c r="J141" s="60"/>
      <c r="K141" s="60"/>
      <c r="L141" s="60"/>
    </row>
    <row r="142">
      <c r="A142" s="55"/>
      <c r="B142" s="55"/>
      <c r="C142" s="55"/>
      <c r="D142" s="57"/>
      <c r="E142" s="57"/>
      <c r="F142" s="55"/>
      <c r="G142" s="58"/>
      <c r="H142" s="58"/>
      <c r="I142" s="55"/>
      <c r="J142" s="55"/>
      <c r="K142" s="55"/>
      <c r="L142" s="55"/>
    </row>
    <row r="143">
      <c r="A143" s="60"/>
      <c r="B143" s="60"/>
      <c r="C143" s="60"/>
      <c r="D143" s="61"/>
      <c r="E143" s="61"/>
      <c r="F143" s="60"/>
      <c r="G143" s="62"/>
      <c r="H143" s="62"/>
      <c r="I143" s="60"/>
      <c r="J143" s="60"/>
      <c r="K143" s="60"/>
      <c r="L143" s="60"/>
    </row>
    <row r="144">
      <c r="A144" s="55"/>
      <c r="B144" s="55"/>
      <c r="C144" s="55"/>
      <c r="D144" s="57"/>
      <c r="E144" s="57"/>
      <c r="F144" s="55"/>
      <c r="G144" s="58"/>
      <c r="H144" s="58"/>
      <c r="I144" s="55"/>
      <c r="J144" s="55"/>
      <c r="K144" s="55"/>
      <c r="L144" s="55"/>
    </row>
    <row r="145">
      <c r="A145" s="60"/>
      <c r="B145" s="60"/>
      <c r="C145" s="60"/>
      <c r="D145" s="61"/>
      <c r="E145" s="61"/>
      <c r="F145" s="60"/>
      <c r="G145" s="62"/>
      <c r="H145" s="62"/>
      <c r="I145" s="60"/>
      <c r="J145" s="60"/>
      <c r="K145" s="60"/>
      <c r="L145" s="60"/>
    </row>
    <row r="146">
      <c r="A146" s="55"/>
      <c r="B146" s="55"/>
      <c r="C146" s="55"/>
      <c r="D146" s="57"/>
      <c r="E146" s="57"/>
      <c r="F146" s="55"/>
      <c r="G146" s="58"/>
      <c r="H146" s="58"/>
      <c r="I146" s="55"/>
      <c r="J146" s="55"/>
      <c r="K146" s="55"/>
      <c r="L146" s="55"/>
    </row>
    <row r="147">
      <c r="A147" s="60"/>
      <c r="B147" s="60"/>
      <c r="C147" s="60"/>
      <c r="D147" s="61"/>
      <c r="E147" s="61"/>
      <c r="F147" s="60"/>
      <c r="G147" s="62"/>
      <c r="H147" s="62"/>
      <c r="I147" s="60"/>
      <c r="J147" s="60"/>
      <c r="K147" s="60"/>
      <c r="L147" s="60"/>
    </row>
    <row r="148">
      <c r="A148" s="55"/>
      <c r="B148" s="55"/>
      <c r="C148" s="55"/>
      <c r="D148" s="57"/>
      <c r="E148" s="57"/>
      <c r="F148" s="55"/>
      <c r="G148" s="58"/>
      <c r="H148" s="58"/>
      <c r="I148" s="55"/>
      <c r="J148" s="55"/>
      <c r="K148" s="55"/>
      <c r="L148" s="55"/>
    </row>
    <row r="149">
      <c r="A149" s="60"/>
      <c r="B149" s="60"/>
      <c r="C149" s="60"/>
      <c r="D149" s="61"/>
      <c r="E149" s="61"/>
      <c r="F149" s="60"/>
      <c r="G149" s="62"/>
      <c r="H149" s="62"/>
      <c r="I149" s="60"/>
      <c r="J149" s="60"/>
      <c r="K149" s="60"/>
      <c r="L149" s="60"/>
    </row>
    <row r="150">
      <c r="A150" s="55"/>
      <c r="B150" s="55"/>
      <c r="C150" s="55"/>
      <c r="D150" s="57"/>
      <c r="E150" s="57"/>
      <c r="F150" s="55"/>
      <c r="G150" s="58"/>
      <c r="H150" s="58"/>
      <c r="I150" s="55"/>
      <c r="J150" s="55"/>
      <c r="K150" s="55"/>
      <c r="L150" s="55"/>
    </row>
    <row r="151">
      <c r="A151" s="60"/>
      <c r="B151" s="60"/>
      <c r="C151" s="60"/>
      <c r="D151" s="61"/>
      <c r="E151" s="61"/>
      <c r="F151" s="60"/>
      <c r="G151" s="62"/>
      <c r="H151" s="62"/>
      <c r="I151" s="60"/>
      <c r="J151" s="60"/>
      <c r="K151" s="60"/>
      <c r="L151" s="60"/>
    </row>
    <row r="152">
      <c r="A152" s="55"/>
      <c r="B152" s="55"/>
      <c r="C152" s="55"/>
      <c r="D152" s="57"/>
      <c r="E152" s="57"/>
      <c r="F152" s="55"/>
      <c r="G152" s="58"/>
      <c r="H152" s="58"/>
      <c r="I152" s="55"/>
      <c r="J152" s="55"/>
      <c r="K152" s="55"/>
      <c r="L152" s="55"/>
    </row>
    <row r="153">
      <c r="A153" s="60"/>
      <c r="B153" s="60"/>
      <c r="C153" s="60"/>
      <c r="D153" s="61"/>
      <c r="E153" s="61"/>
      <c r="F153" s="60"/>
      <c r="G153" s="62"/>
      <c r="H153" s="62"/>
      <c r="I153" s="60"/>
      <c r="J153" s="60"/>
      <c r="K153" s="60"/>
      <c r="L153" s="60"/>
    </row>
    <row r="154">
      <c r="A154" s="55"/>
      <c r="B154" s="55"/>
      <c r="C154" s="55"/>
      <c r="D154" s="57"/>
      <c r="E154" s="57"/>
      <c r="F154" s="55"/>
      <c r="G154" s="58"/>
      <c r="H154" s="58"/>
      <c r="I154" s="55"/>
      <c r="J154" s="55"/>
      <c r="K154" s="55"/>
      <c r="L154" s="55"/>
    </row>
    <row r="155">
      <c r="A155" s="60"/>
      <c r="B155" s="60"/>
      <c r="C155" s="60"/>
      <c r="D155" s="61"/>
      <c r="E155" s="61"/>
      <c r="F155" s="60"/>
      <c r="G155" s="62"/>
      <c r="H155" s="62"/>
      <c r="I155" s="60"/>
      <c r="J155" s="60"/>
      <c r="K155" s="60"/>
      <c r="L155" s="60"/>
    </row>
    <row r="156">
      <c r="A156" s="55"/>
      <c r="B156" s="55"/>
      <c r="C156" s="55"/>
      <c r="D156" s="57"/>
      <c r="E156" s="57"/>
      <c r="F156" s="55"/>
      <c r="G156" s="58"/>
      <c r="H156" s="58"/>
      <c r="I156" s="55"/>
      <c r="J156" s="55"/>
      <c r="K156" s="55"/>
      <c r="L156" s="55"/>
    </row>
    <row r="157">
      <c r="A157" s="60"/>
      <c r="B157" s="60"/>
      <c r="C157" s="60"/>
      <c r="D157" s="61"/>
      <c r="E157" s="61"/>
      <c r="F157" s="60"/>
      <c r="G157" s="62"/>
      <c r="H157" s="62"/>
      <c r="I157" s="60"/>
      <c r="J157" s="60"/>
      <c r="K157" s="60"/>
      <c r="L157" s="60"/>
    </row>
    <row r="158">
      <c r="A158" s="55"/>
      <c r="B158" s="55"/>
      <c r="C158" s="55"/>
      <c r="D158" s="57"/>
      <c r="E158" s="57"/>
      <c r="F158" s="55"/>
      <c r="G158" s="58"/>
      <c r="H158" s="58"/>
      <c r="I158" s="55"/>
      <c r="J158" s="55"/>
      <c r="K158" s="55"/>
      <c r="L158" s="55"/>
    </row>
    <row r="159">
      <c r="A159" s="60"/>
      <c r="B159" s="60"/>
      <c r="C159" s="60"/>
      <c r="D159" s="61"/>
      <c r="E159" s="61"/>
      <c r="F159" s="60"/>
      <c r="G159" s="62"/>
      <c r="H159" s="62"/>
      <c r="I159" s="60"/>
      <c r="J159" s="60"/>
      <c r="K159" s="60"/>
      <c r="L159" s="60"/>
    </row>
    <row r="160">
      <c r="A160" s="55"/>
      <c r="B160" s="55"/>
      <c r="C160" s="55"/>
      <c r="D160" s="57"/>
      <c r="E160" s="57"/>
      <c r="F160" s="55"/>
      <c r="G160" s="58"/>
      <c r="H160" s="58"/>
      <c r="I160" s="55"/>
      <c r="J160" s="55"/>
      <c r="K160" s="55"/>
      <c r="L160" s="55"/>
    </row>
    <row r="161">
      <c r="A161" s="60"/>
      <c r="B161" s="60"/>
      <c r="C161" s="60"/>
      <c r="D161" s="61"/>
      <c r="E161" s="61"/>
      <c r="F161" s="60"/>
      <c r="G161" s="62"/>
      <c r="H161" s="62"/>
      <c r="I161" s="60"/>
      <c r="J161" s="60"/>
      <c r="K161" s="60"/>
      <c r="L161" s="60"/>
    </row>
    <row r="162">
      <c r="A162" s="55"/>
      <c r="B162" s="55"/>
      <c r="C162" s="55"/>
      <c r="D162" s="57"/>
      <c r="E162" s="57"/>
      <c r="F162" s="55"/>
      <c r="G162" s="58"/>
      <c r="H162" s="58"/>
      <c r="I162" s="55"/>
      <c r="J162" s="55"/>
      <c r="K162" s="55"/>
      <c r="L162" s="55"/>
    </row>
    <row r="163">
      <c r="A163" s="60"/>
      <c r="B163" s="60"/>
      <c r="C163" s="60"/>
      <c r="D163" s="61"/>
      <c r="E163" s="61"/>
      <c r="F163" s="60"/>
      <c r="G163" s="62"/>
      <c r="H163" s="62"/>
      <c r="I163" s="60"/>
      <c r="J163" s="60"/>
      <c r="K163" s="60"/>
      <c r="L163" s="60"/>
    </row>
    <row r="164">
      <c r="A164" s="55"/>
      <c r="B164" s="55"/>
      <c r="C164" s="55"/>
      <c r="D164" s="57"/>
      <c r="E164" s="57"/>
      <c r="F164" s="55"/>
      <c r="G164" s="58"/>
      <c r="H164" s="58"/>
      <c r="I164" s="55"/>
      <c r="J164" s="55"/>
      <c r="K164" s="55"/>
      <c r="L164" s="55"/>
    </row>
    <row r="165">
      <c r="A165" s="60"/>
      <c r="B165" s="60"/>
      <c r="C165" s="60"/>
      <c r="D165" s="61"/>
      <c r="E165" s="61"/>
      <c r="F165" s="60"/>
      <c r="G165" s="62"/>
      <c r="H165" s="62"/>
      <c r="I165" s="60"/>
      <c r="J165" s="60"/>
      <c r="K165" s="60"/>
      <c r="L165" s="60"/>
    </row>
    <row r="166">
      <c r="A166" s="55"/>
      <c r="B166" s="55"/>
      <c r="C166" s="55"/>
      <c r="D166" s="57"/>
      <c r="E166" s="57"/>
      <c r="F166" s="55"/>
      <c r="G166" s="58"/>
      <c r="H166" s="58"/>
      <c r="I166" s="55"/>
      <c r="J166" s="55"/>
      <c r="K166" s="55"/>
      <c r="L166" s="55"/>
    </row>
    <row r="167">
      <c r="A167" s="60"/>
      <c r="B167" s="60"/>
      <c r="C167" s="60"/>
      <c r="D167" s="61"/>
      <c r="E167" s="61"/>
      <c r="F167" s="60"/>
      <c r="G167" s="62"/>
      <c r="H167" s="62"/>
      <c r="I167" s="60"/>
      <c r="J167" s="60"/>
      <c r="K167" s="60"/>
      <c r="L167" s="60"/>
    </row>
    <row r="168">
      <c r="A168" s="55"/>
      <c r="B168" s="55"/>
      <c r="C168" s="55"/>
      <c r="D168" s="57"/>
      <c r="E168" s="57"/>
      <c r="F168" s="55"/>
      <c r="G168" s="58"/>
      <c r="H168" s="58"/>
      <c r="I168" s="55"/>
      <c r="J168" s="55"/>
      <c r="K168" s="55"/>
      <c r="L168" s="55"/>
    </row>
    <row r="169">
      <c r="A169" s="60"/>
      <c r="B169" s="60"/>
      <c r="C169" s="60"/>
      <c r="D169" s="61"/>
      <c r="E169" s="61"/>
      <c r="F169" s="60"/>
      <c r="G169" s="62"/>
      <c r="H169" s="62"/>
      <c r="I169" s="60"/>
      <c r="J169" s="60"/>
      <c r="K169" s="60"/>
      <c r="L169" s="60"/>
    </row>
    <row r="170">
      <c r="A170" s="55"/>
      <c r="B170" s="55"/>
      <c r="C170" s="55"/>
      <c r="D170" s="57"/>
      <c r="E170" s="57"/>
      <c r="F170" s="55"/>
      <c r="G170" s="58"/>
      <c r="H170" s="58"/>
      <c r="I170" s="55"/>
      <c r="J170" s="55"/>
      <c r="K170" s="55"/>
      <c r="L170" s="55"/>
    </row>
    <row r="171">
      <c r="A171" s="60"/>
      <c r="B171" s="60"/>
      <c r="C171" s="60"/>
      <c r="D171" s="61"/>
      <c r="E171" s="61"/>
      <c r="F171" s="60"/>
      <c r="G171" s="62"/>
      <c r="H171" s="62"/>
      <c r="I171" s="60"/>
      <c r="J171" s="60"/>
      <c r="K171" s="60"/>
      <c r="L171" s="60"/>
    </row>
    <row r="172">
      <c r="A172" s="55"/>
      <c r="B172" s="55"/>
      <c r="C172" s="55"/>
      <c r="D172" s="57"/>
      <c r="E172" s="57"/>
      <c r="F172" s="55"/>
      <c r="G172" s="58"/>
      <c r="H172" s="58"/>
      <c r="I172" s="55"/>
      <c r="J172" s="55"/>
      <c r="K172" s="55"/>
      <c r="L172" s="55"/>
    </row>
    <row r="173">
      <c r="A173" s="60"/>
      <c r="B173" s="60"/>
      <c r="C173" s="60"/>
      <c r="D173" s="61"/>
      <c r="E173" s="61"/>
      <c r="F173" s="60"/>
      <c r="G173" s="62"/>
      <c r="H173" s="62"/>
      <c r="I173" s="60"/>
      <c r="J173" s="60"/>
      <c r="K173" s="60"/>
      <c r="L173" s="60"/>
    </row>
    <row r="174">
      <c r="A174" s="55"/>
      <c r="B174" s="55"/>
      <c r="C174" s="55"/>
      <c r="D174" s="57"/>
      <c r="E174" s="57"/>
      <c r="F174" s="55"/>
      <c r="G174" s="58"/>
      <c r="H174" s="58"/>
      <c r="I174" s="55"/>
      <c r="J174" s="55"/>
      <c r="K174" s="55"/>
      <c r="L174" s="55"/>
    </row>
    <row r="175">
      <c r="A175" s="60"/>
      <c r="B175" s="60"/>
      <c r="C175" s="60"/>
      <c r="D175" s="61"/>
      <c r="E175" s="61"/>
      <c r="F175" s="60"/>
      <c r="G175" s="62"/>
      <c r="H175" s="62"/>
      <c r="I175" s="60"/>
      <c r="J175" s="60"/>
      <c r="K175" s="60"/>
      <c r="L175" s="60"/>
    </row>
    <row r="176">
      <c r="A176" s="55"/>
      <c r="B176" s="55"/>
      <c r="C176" s="55"/>
      <c r="D176" s="57"/>
      <c r="E176" s="57"/>
      <c r="F176" s="55"/>
      <c r="G176" s="58"/>
      <c r="H176" s="58"/>
      <c r="I176" s="55"/>
      <c r="J176" s="55"/>
      <c r="K176" s="55"/>
      <c r="L176" s="55"/>
    </row>
    <row r="177">
      <c r="A177" s="60"/>
      <c r="B177" s="60"/>
      <c r="C177" s="60"/>
      <c r="D177" s="61"/>
      <c r="E177" s="61"/>
      <c r="F177" s="60"/>
      <c r="G177" s="62"/>
      <c r="H177" s="62"/>
      <c r="I177" s="60"/>
      <c r="J177" s="60"/>
      <c r="K177" s="60"/>
      <c r="L177" s="60"/>
    </row>
    <row r="178">
      <c r="A178" s="55"/>
      <c r="B178" s="55"/>
      <c r="C178" s="55"/>
      <c r="D178" s="57"/>
      <c r="E178" s="57"/>
      <c r="F178" s="55"/>
      <c r="G178" s="58"/>
      <c r="H178" s="58"/>
      <c r="I178" s="55"/>
      <c r="J178" s="55"/>
      <c r="K178" s="55"/>
      <c r="L178" s="55"/>
    </row>
    <row r="179">
      <c r="A179" s="60"/>
      <c r="B179" s="60"/>
      <c r="C179" s="60"/>
      <c r="D179" s="61"/>
      <c r="E179" s="61"/>
      <c r="F179" s="60"/>
      <c r="G179" s="62"/>
      <c r="H179" s="62"/>
      <c r="I179" s="60"/>
      <c r="J179" s="60"/>
      <c r="K179" s="60"/>
      <c r="L179" s="60"/>
    </row>
    <row r="180">
      <c r="A180" s="55"/>
      <c r="B180" s="55"/>
      <c r="C180" s="55"/>
      <c r="D180" s="57"/>
      <c r="E180" s="57"/>
      <c r="F180" s="55"/>
      <c r="G180" s="58"/>
      <c r="H180" s="58"/>
      <c r="I180" s="55"/>
      <c r="J180" s="55"/>
      <c r="K180" s="55"/>
      <c r="L180" s="55"/>
    </row>
    <row r="181">
      <c r="A181" s="60"/>
      <c r="B181" s="60"/>
      <c r="C181" s="60"/>
      <c r="D181" s="61"/>
      <c r="E181" s="61"/>
      <c r="F181" s="60"/>
      <c r="G181" s="62"/>
      <c r="H181" s="62"/>
      <c r="I181" s="60"/>
      <c r="J181" s="60"/>
      <c r="K181" s="60"/>
      <c r="L181" s="60"/>
    </row>
    <row r="182">
      <c r="A182" s="55"/>
      <c r="B182" s="55"/>
      <c r="C182" s="55"/>
      <c r="D182" s="57"/>
      <c r="E182" s="57"/>
      <c r="F182" s="55"/>
      <c r="G182" s="58"/>
      <c r="H182" s="58"/>
      <c r="I182" s="55"/>
      <c r="J182" s="55"/>
      <c r="K182" s="55"/>
      <c r="L182" s="55"/>
    </row>
    <row r="183">
      <c r="A183" s="60"/>
      <c r="B183" s="60"/>
      <c r="C183" s="60"/>
      <c r="D183" s="61"/>
      <c r="E183" s="61"/>
      <c r="F183" s="60"/>
      <c r="G183" s="62"/>
      <c r="H183" s="62"/>
      <c r="I183" s="60"/>
      <c r="J183" s="60"/>
      <c r="K183" s="60"/>
      <c r="L183" s="60"/>
    </row>
    <row r="184">
      <c r="A184" s="55"/>
      <c r="B184" s="55"/>
      <c r="C184" s="55"/>
      <c r="D184" s="57"/>
      <c r="E184" s="57"/>
      <c r="F184" s="55"/>
      <c r="G184" s="58"/>
      <c r="H184" s="58"/>
      <c r="I184" s="55"/>
      <c r="J184" s="55"/>
      <c r="K184" s="55"/>
      <c r="L184" s="55"/>
    </row>
    <row r="185">
      <c r="A185" s="60"/>
      <c r="B185" s="60"/>
      <c r="C185" s="60"/>
      <c r="D185" s="61"/>
      <c r="E185" s="61"/>
      <c r="F185" s="60"/>
      <c r="G185" s="62"/>
      <c r="H185" s="62"/>
      <c r="I185" s="60"/>
      <c r="J185" s="60"/>
      <c r="K185" s="60"/>
      <c r="L185" s="60"/>
    </row>
    <row r="186">
      <c r="A186" s="55"/>
      <c r="B186" s="55"/>
      <c r="C186" s="55"/>
      <c r="D186" s="57"/>
      <c r="E186" s="57"/>
      <c r="F186" s="55"/>
      <c r="G186" s="58"/>
      <c r="H186" s="58"/>
      <c r="I186" s="55"/>
      <c r="J186" s="55"/>
      <c r="K186" s="55"/>
      <c r="L186" s="55"/>
    </row>
    <row r="187">
      <c r="A187" s="60"/>
      <c r="B187" s="60"/>
      <c r="C187" s="60"/>
      <c r="D187" s="61"/>
      <c r="E187" s="61"/>
      <c r="F187" s="60"/>
      <c r="G187" s="62"/>
      <c r="H187" s="62"/>
      <c r="I187" s="60"/>
      <c r="J187" s="60"/>
      <c r="K187" s="60"/>
      <c r="L187" s="60"/>
    </row>
    <row r="188">
      <c r="A188" s="55"/>
      <c r="B188" s="55"/>
      <c r="C188" s="55"/>
      <c r="D188" s="57"/>
      <c r="E188" s="57"/>
      <c r="F188" s="55"/>
      <c r="G188" s="58"/>
      <c r="H188" s="58"/>
      <c r="I188" s="55"/>
      <c r="J188" s="55"/>
      <c r="K188" s="55"/>
      <c r="L188" s="55"/>
    </row>
    <row r="189">
      <c r="A189" s="60"/>
      <c r="B189" s="60"/>
      <c r="C189" s="60"/>
      <c r="D189" s="61"/>
      <c r="E189" s="61"/>
      <c r="F189" s="60"/>
      <c r="G189" s="62"/>
      <c r="H189" s="62"/>
      <c r="I189" s="60"/>
      <c r="J189" s="60"/>
      <c r="K189" s="60"/>
      <c r="L189" s="60"/>
    </row>
    <row r="190">
      <c r="A190" s="55"/>
      <c r="B190" s="55"/>
      <c r="C190" s="55"/>
      <c r="D190" s="57"/>
      <c r="E190" s="57"/>
      <c r="F190" s="55"/>
      <c r="G190" s="58"/>
      <c r="H190" s="58"/>
      <c r="I190" s="55"/>
      <c r="J190" s="55"/>
      <c r="K190" s="55"/>
      <c r="L190" s="55"/>
    </row>
    <row r="191">
      <c r="A191" s="60"/>
      <c r="B191" s="60"/>
      <c r="C191" s="60"/>
      <c r="D191" s="61"/>
      <c r="E191" s="61"/>
      <c r="F191" s="60"/>
      <c r="G191" s="62"/>
      <c r="H191" s="62"/>
      <c r="I191" s="60"/>
      <c r="J191" s="60"/>
      <c r="K191" s="60"/>
      <c r="L191" s="60"/>
    </row>
    <row r="192">
      <c r="A192" s="55"/>
      <c r="B192" s="55"/>
      <c r="C192" s="55"/>
      <c r="D192" s="57"/>
      <c r="E192" s="57"/>
      <c r="F192" s="55"/>
      <c r="G192" s="58"/>
      <c r="H192" s="58"/>
      <c r="I192" s="55"/>
      <c r="J192" s="55"/>
      <c r="K192" s="55"/>
      <c r="L192" s="55"/>
    </row>
    <row r="193">
      <c r="A193" s="60"/>
      <c r="B193" s="60"/>
      <c r="C193" s="60"/>
      <c r="D193" s="61"/>
      <c r="E193" s="61"/>
      <c r="F193" s="60"/>
      <c r="G193" s="62"/>
      <c r="H193" s="62"/>
      <c r="I193" s="60"/>
      <c r="J193" s="60"/>
      <c r="K193" s="60"/>
      <c r="L193" s="60"/>
    </row>
    <row r="194">
      <c r="A194" s="55"/>
      <c r="B194" s="55"/>
      <c r="C194" s="55"/>
      <c r="D194" s="57"/>
      <c r="E194" s="57"/>
      <c r="F194" s="55"/>
      <c r="G194" s="58"/>
      <c r="H194" s="58"/>
      <c r="I194" s="55"/>
      <c r="J194" s="55"/>
      <c r="K194" s="55"/>
      <c r="L194" s="55"/>
    </row>
    <row r="195">
      <c r="A195" s="60"/>
      <c r="B195" s="60"/>
      <c r="C195" s="60"/>
      <c r="D195" s="61"/>
      <c r="E195" s="61"/>
      <c r="F195" s="60"/>
      <c r="G195" s="62"/>
      <c r="H195" s="62"/>
      <c r="I195" s="60"/>
      <c r="J195" s="60"/>
      <c r="K195" s="60"/>
      <c r="L195" s="60"/>
    </row>
    <row r="196">
      <c r="A196" s="55"/>
      <c r="B196" s="55"/>
      <c r="C196" s="55"/>
      <c r="D196" s="57"/>
      <c r="E196" s="57"/>
      <c r="F196" s="55"/>
      <c r="G196" s="58"/>
      <c r="H196" s="58"/>
      <c r="I196" s="55"/>
      <c r="J196" s="55"/>
      <c r="K196" s="55"/>
      <c r="L196" s="55"/>
    </row>
    <row r="197">
      <c r="A197" s="60"/>
      <c r="B197" s="60"/>
      <c r="C197" s="60"/>
      <c r="D197" s="61"/>
      <c r="E197" s="61"/>
      <c r="F197" s="60"/>
      <c r="G197" s="62"/>
      <c r="H197" s="62"/>
      <c r="I197" s="60"/>
      <c r="J197" s="60"/>
      <c r="K197" s="60"/>
      <c r="L197" s="60"/>
    </row>
    <row r="198">
      <c r="A198" s="55"/>
      <c r="B198" s="55"/>
      <c r="C198" s="55"/>
      <c r="D198" s="57"/>
      <c r="E198" s="57"/>
      <c r="F198" s="55"/>
      <c r="G198" s="58"/>
      <c r="H198" s="58"/>
      <c r="I198" s="55"/>
      <c r="J198" s="55"/>
      <c r="K198" s="55"/>
      <c r="L198" s="55"/>
    </row>
    <row r="199">
      <c r="A199" s="60"/>
      <c r="B199" s="60"/>
      <c r="C199" s="60"/>
      <c r="D199" s="61"/>
      <c r="E199" s="61"/>
      <c r="F199" s="60"/>
      <c r="G199" s="62"/>
      <c r="H199" s="62"/>
      <c r="I199" s="60"/>
      <c r="J199" s="60"/>
      <c r="K199" s="60"/>
      <c r="L199" s="60"/>
    </row>
    <row r="200">
      <c r="A200" s="55"/>
      <c r="B200" s="55"/>
      <c r="C200" s="55"/>
      <c r="D200" s="57"/>
      <c r="E200" s="57"/>
      <c r="F200" s="55"/>
      <c r="G200" s="58"/>
      <c r="H200" s="58"/>
      <c r="I200" s="55"/>
      <c r="J200" s="55"/>
      <c r="K200" s="55"/>
      <c r="L200" s="55"/>
    </row>
    <row r="201">
      <c r="A201" s="60"/>
      <c r="B201" s="60"/>
      <c r="C201" s="60"/>
      <c r="D201" s="61"/>
      <c r="E201" s="61"/>
      <c r="F201" s="60"/>
      <c r="G201" s="62"/>
      <c r="H201" s="62"/>
      <c r="I201" s="60"/>
      <c r="J201" s="60"/>
      <c r="K201" s="60"/>
      <c r="L201" s="60"/>
    </row>
    <row r="202">
      <c r="A202" s="55"/>
      <c r="B202" s="55"/>
      <c r="C202" s="55"/>
      <c r="D202" s="57"/>
      <c r="E202" s="57"/>
      <c r="F202" s="55"/>
      <c r="G202" s="58"/>
      <c r="H202" s="58"/>
      <c r="I202" s="55"/>
      <c r="J202" s="55"/>
      <c r="K202" s="55"/>
      <c r="L202" s="55"/>
    </row>
    <row r="203">
      <c r="A203" s="60"/>
      <c r="B203" s="60"/>
      <c r="C203" s="60"/>
      <c r="D203" s="61"/>
      <c r="E203" s="61"/>
      <c r="F203" s="60"/>
      <c r="G203" s="62"/>
      <c r="H203" s="62"/>
      <c r="I203" s="60"/>
      <c r="J203" s="60"/>
      <c r="K203" s="60"/>
      <c r="L203" s="60"/>
    </row>
    <row r="204">
      <c r="A204" s="55"/>
      <c r="B204" s="55"/>
      <c r="C204" s="55"/>
      <c r="D204" s="57"/>
      <c r="E204" s="57"/>
      <c r="F204" s="55"/>
      <c r="G204" s="58"/>
      <c r="H204" s="58"/>
      <c r="I204" s="55"/>
      <c r="J204" s="55"/>
      <c r="K204" s="55"/>
      <c r="L204" s="55"/>
    </row>
    <row r="205">
      <c r="A205" s="60"/>
      <c r="B205" s="60"/>
      <c r="C205" s="60"/>
      <c r="D205" s="61"/>
      <c r="E205" s="61"/>
      <c r="F205" s="60"/>
      <c r="G205" s="62"/>
      <c r="H205" s="62"/>
      <c r="I205" s="60"/>
      <c r="J205" s="60"/>
      <c r="K205" s="60"/>
      <c r="L205" s="60"/>
    </row>
    <row r="206">
      <c r="A206" s="55"/>
      <c r="B206" s="55"/>
      <c r="C206" s="55"/>
      <c r="D206" s="57"/>
      <c r="E206" s="57"/>
      <c r="F206" s="55"/>
      <c r="G206" s="58"/>
      <c r="H206" s="58"/>
      <c r="I206" s="55"/>
      <c r="J206" s="55"/>
      <c r="K206" s="55"/>
      <c r="L206" s="55"/>
    </row>
    <row r="207">
      <c r="A207" s="60"/>
      <c r="B207" s="60"/>
      <c r="C207" s="60"/>
      <c r="D207" s="61"/>
      <c r="E207" s="61"/>
      <c r="F207" s="60"/>
      <c r="G207" s="62"/>
      <c r="H207" s="62"/>
      <c r="I207" s="60"/>
      <c r="J207" s="60"/>
      <c r="K207" s="60"/>
      <c r="L207" s="60"/>
    </row>
    <row r="208">
      <c r="A208" s="55"/>
      <c r="B208" s="55"/>
      <c r="C208" s="55"/>
      <c r="D208" s="57"/>
      <c r="E208" s="57"/>
      <c r="F208" s="55"/>
      <c r="G208" s="58"/>
      <c r="H208" s="58"/>
      <c r="I208" s="55"/>
      <c r="J208" s="55"/>
      <c r="K208" s="55"/>
      <c r="L208" s="55"/>
    </row>
    <row r="209">
      <c r="A209" s="60"/>
      <c r="B209" s="60"/>
      <c r="C209" s="60"/>
      <c r="D209" s="61"/>
      <c r="E209" s="61"/>
      <c r="F209" s="60"/>
      <c r="G209" s="62"/>
      <c r="H209" s="62"/>
      <c r="I209" s="60"/>
      <c r="J209" s="60"/>
      <c r="K209" s="60"/>
      <c r="L209" s="60"/>
    </row>
    <row r="210">
      <c r="A210" s="55"/>
      <c r="B210" s="55"/>
      <c r="C210" s="55"/>
      <c r="D210" s="57"/>
      <c r="E210" s="57"/>
      <c r="F210" s="55"/>
      <c r="G210" s="58"/>
      <c r="H210" s="58"/>
      <c r="I210" s="55"/>
      <c r="J210" s="55"/>
      <c r="K210" s="55"/>
      <c r="L210" s="55"/>
    </row>
    <row r="211">
      <c r="A211" s="60"/>
      <c r="B211" s="60"/>
      <c r="C211" s="60"/>
      <c r="D211" s="61"/>
      <c r="E211" s="61"/>
      <c r="F211" s="60"/>
      <c r="G211" s="62"/>
      <c r="H211" s="62"/>
      <c r="I211" s="60"/>
      <c r="J211" s="60"/>
      <c r="K211" s="60"/>
      <c r="L211" s="60"/>
    </row>
    <row r="212">
      <c r="A212" s="55"/>
      <c r="B212" s="55"/>
      <c r="C212" s="55"/>
      <c r="D212" s="57"/>
      <c r="E212" s="57"/>
      <c r="F212" s="55"/>
      <c r="G212" s="58"/>
      <c r="H212" s="58"/>
      <c r="I212" s="55"/>
      <c r="J212" s="55"/>
      <c r="K212" s="55"/>
      <c r="L212" s="55"/>
    </row>
    <row r="213">
      <c r="A213" s="60"/>
      <c r="B213" s="60"/>
      <c r="C213" s="60"/>
      <c r="D213" s="61"/>
      <c r="E213" s="61"/>
      <c r="F213" s="60"/>
      <c r="G213" s="62"/>
      <c r="H213" s="62"/>
      <c r="I213" s="60"/>
      <c r="J213" s="60"/>
      <c r="K213" s="60"/>
      <c r="L213" s="60"/>
    </row>
    <row r="214">
      <c r="A214" s="55"/>
      <c r="B214" s="55"/>
      <c r="C214" s="55"/>
      <c r="D214" s="57"/>
      <c r="E214" s="57"/>
      <c r="F214" s="55"/>
      <c r="G214" s="58"/>
      <c r="H214" s="58"/>
      <c r="I214" s="55"/>
      <c r="J214" s="55"/>
      <c r="K214" s="55"/>
      <c r="L214" s="55"/>
    </row>
    <row r="215">
      <c r="A215" s="60"/>
      <c r="B215" s="60"/>
      <c r="C215" s="60"/>
      <c r="D215" s="61"/>
      <c r="E215" s="61"/>
      <c r="F215" s="60"/>
      <c r="G215" s="62"/>
      <c r="H215" s="62"/>
      <c r="I215" s="60"/>
      <c r="J215" s="60"/>
      <c r="K215" s="60"/>
      <c r="L215" s="60"/>
    </row>
    <row r="216">
      <c r="A216" s="55"/>
      <c r="B216" s="55"/>
      <c r="C216" s="55"/>
      <c r="D216" s="57"/>
      <c r="E216" s="57"/>
      <c r="F216" s="55"/>
      <c r="G216" s="58"/>
      <c r="H216" s="58"/>
      <c r="I216" s="55"/>
      <c r="J216" s="55"/>
      <c r="K216" s="55"/>
      <c r="L216" s="55"/>
    </row>
    <row r="217">
      <c r="A217" s="60"/>
      <c r="B217" s="60"/>
      <c r="C217" s="60"/>
      <c r="D217" s="61"/>
      <c r="E217" s="61"/>
      <c r="F217" s="60"/>
      <c r="G217" s="62"/>
      <c r="H217" s="62"/>
      <c r="I217" s="60"/>
      <c r="J217" s="60"/>
      <c r="K217" s="60"/>
      <c r="L217" s="60"/>
    </row>
    <row r="218">
      <c r="A218" s="55"/>
      <c r="B218" s="55"/>
      <c r="C218" s="55"/>
      <c r="D218" s="57"/>
      <c r="E218" s="57"/>
      <c r="F218" s="55"/>
      <c r="G218" s="58"/>
      <c r="H218" s="58"/>
      <c r="I218" s="55"/>
      <c r="J218" s="55"/>
      <c r="K218" s="55"/>
      <c r="L218" s="55"/>
    </row>
    <row r="219">
      <c r="A219" s="60"/>
      <c r="B219" s="60"/>
      <c r="C219" s="60"/>
      <c r="D219" s="61"/>
      <c r="E219" s="61"/>
      <c r="F219" s="60"/>
      <c r="G219" s="62"/>
      <c r="H219" s="62"/>
      <c r="I219" s="60"/>
      <c r="J219" s="60"/>
      <c r="K219" s="60"/>
      <c r="L219" s="60"/>
    </row>
    <row r="220">
      <c r="A220" s="55"/>
      <c r="B220" s="55"/>
      <c r="C220" s="55"/>
      <c r="D220" s="57"/>
      <c r="E220" s="57"/>
      <c r="F220" s="55"/>
      <c r="G220" s="58"/>
      <c r="H220" s="58"/>
      <c r="I220" s="55"/>
      <c r="J220" s="55"/>
      <c r="K220" s="55"/>
      <c r="L220" s="55"/>
    </row>
    <row r="221">
      <c r="A221" s="60"/>
      <c r="B221" s="60"/>
      <c r="C221" s="60"/>
      <c r="D221" s="61"/>
      <c r="E221" s="61"/>
      <c r="F221" s="60"/>
      <c r="G221" s="62"/>
      <c r="H221" s="62"/>
      <c r="I221" s="60"/>
      <c r="J221" s="60"/>
      <c r="K221" s="60"/>
      <c r="L221" s="60"/>
    </row>
    <row r="222">
      <c r="A222" s="55"/>
      <c r="B222" s="55"/>
      <c r="C222" s="55"/>
      <c r="D222" s="57"/>
      <c r="E222" s="57"/>
      <c r="F222" s="55"/>
      <c r="G222" s="58"/>
      <c r="H222" s="58"/>
      <c r="I222" s="55"/>
      <c r="J222" s="55"/>
      <c r="K222" s="55"/>
      <c r="L222" s="55"/>
    </row>
    <row r="223">
      <c r="A223" s="60"/>
      <c r="B223" s="60"/>
      <c r="C223" s="60"/>
      <c r="D223" s="61"/>
      <c r="E223" s="61"/>
      <c r="F223" s="60"/>
      <c r="G223" s="62"/>
      <c r="H223" s="62"/>
      <c r="I223" s="60"/>
      <c r="J223" s="60"/>
      <c r="K223" s="60"/>
      <c r="L223" s="60"/>
    </row>
    <row r="224">
      <c r="A224" s="55"/>
      <c r="B224" s="55"/>
      <c r="C224" s="55"/>
      <c r="D224" s="57"/>
      <c r="E224" s="57"/>
      <c r="F224" s="55"/>
      <c r="G224" s="58"/>
      <c r="H224" s="58"/>
      <c r="I224" s="55"/>
      <c r="J224" s="55"/>
      <c r="K224" s="55"/>
      <c r="L224" s="55"/>
    </row>
    <row r="225">
      <c r="A225" s="60"/>
      <c r="B225" s="60"/>
      <c r="C225" s="60"/>
      <c r="D225" s="61"/>
      <c r="E225" s="61"/>
      <c r="F225" s="60"/>
      <c r="G225" s="62"/>
      <c r="H225" s="62"/>
      <c r="I225" s="60"/>
      <c r="J225" s="60"/>
      <c r="K225" s="60"/>
      <c r="L225" s="60"/>
    </row>
    <row r="226">
      <c r="A226" s="55"/>
      <c r="B226" s="55"/>
      <c r="C226" s="55"/>
      <c r="D226" s="57"/>
      <c r="E226" s="57"/>
      <c r="F226" s="55"/>
      <c r="G226" s="58"/>
      <c r="H226" s="58"/>
      <c r="I226" s="55"/>
      <c r="J226" s="55"/>
      <c r="K226" s="55"/>
      <c r="L226" s="55"/>
    </row>
    <row r="227">
      <c r="A227" s="60"/>
      <c r="B227" s="60"/>
      <c r="C227" s="60"/>
      <c r="D227" s="61"/>
      <c r="E227" s="61"/>
      <c r="F227" s="60"/>
      <c r="G227" s="62"/>
      <c r="H227" s="62"/>
      <c r="I227" s="60"/>
      <c r="J227" s="60"/>
      <c r="K227" s="60"/>
      <c r="L227" s="60"/>
    </row>
    <row r="228">
      <c r="A228" s="55"/>
      <c r="B228" s="55"/>
      <c r="C228" s="55"/>
      <c r="D228" s="57"/>
      <c r="E228" s="57"/>
      <c r="F228" s="55"/>
      <c r="G228" s="58"/>
      <c r="H228" s="58"/>
      <c r="I228" s="55"/>
      <c r="J228" s="55"/>
      <c r="K228" s="55"/>
      <c r="L228" s="55"/>
    </row>
    <row r="229">
      <c r="A229" s="60"/>
      <c r="B229" s="60"/>
      <c r="C229" s="60"/>
      <c r="D229" s="61"/>
      <c r="E229" s="61"/>
      <c r="F229" s="60"/>
      <c r="G229" s="62"/>
      <c r="H229" s="62"/>
      <c r="I229" s="60"/>
      <c r="J229" s="60"/>
      <c r="K229" s="60"/>
      <c r="L229" s="60"/>
    </row>
    <row r="230">
      <c r="A230" s="55"/>
      <c r="B230" s="55"/>
      <c r="C230" s="55"/>
      <c r="D230" s="57"/>
      <c r="E230" s="57"/>
      <c r="F230" s="55"/>
      <c r="G230" s="58"/>
      <c r="H230" s="58"/>
      <c r="I230" s="55"/>
      <c r="J230" s="55"/>
      <c r="K230" s="55"/>
      <c r="L230" s="55"/>
    </row>
    <row r="231">
      <c r="A231" s="60"/>
      <c r="B231" s="60"/>
      <c r="C231" s="60"/>
      <c r="D231" s="61"/>
      <c r="E231" s="61"/>
      <c r="F231" s="60"/>
      <c r="G231" s="62"/>
      <c r="H231" s="62"/>
      <c r="I231" s="60"/>
      <c r="J231" s="60"/>
      <c r="K231" s="60"/>
      <c r="L231" s="60"/>
    </row>
    <row r="232">
      <c r="A232" s="55"/>
      <c r="B232" s="55"/>
      <c r="C232" s="55"/>
      <c r="D232" s="57"/>
      <c r="E232" s="57"/>
      <c r="F232" s="55"/>
      <c r="G232" s="58"/>
      <c r="H232" s="58"/>
      <c r="I232" s="55"/>
      <c r="J232" s="55"/>
      <c r="K232" s="55"/>
      <c r="L232" s="55"/>
    </row>
    <row r="233">
      <c r="A233" s="60"/>
      <c r="B233" s="60"/>
      <c r="C233" s="60"/>
      <c r="D233" s="61"/>
      <c r="E233" s="61"/>
      <c r="F233" s="60"/>
      <c r="G233" s="62"/>
      <c r="H233" s="62"/>
      <c r="I233" s="60"/>
      <c r="J233" s="60"/>
      <c r="K233" s="60"/>
      <c r="L233" s="60"/>
    </row>
    <row r="234">
      <c r="A234" s="55"/>
      <c r="B234" s="55"/>
      <c r="C234" s="55"/>
      <c r="D234" s="57"/>
      <c r="E234" s="57"/>
      <c r="F234" s="55"/>
      <c r="G234" s="58"/>
      <c r="H234" s="58"/>
      <c r="I234" s="55"/>
      <c r="J234" s="55"/>
      <c r="K234" s="55"/>
      <c r="L234" s="55"/>
    </row>
    <row r="235">
      <c r="A235" s="60"/>
      <c r="B235" s="60"/>
      <c r="C235" s="60"/>
      <c r="D235" s="61"/>
      <c r="E235" s="61"/>
      <c r="F235" s="60"/>
      <c r="G235" s="62"/>
      <c r="H235" s="62"/>
      <c r="I235" s="60"/>
      <c r="J235" s="60"/>
      <c r="K235" s="60"/>
      <c r="L235" s="60"/>
    </row>
    <row r="236">
      <c r="A236" s="55"/>
      <c r="B236" s="55"/>
      <c r="C236" s="55"/>
      <c r="D236" s="57"/>
      <c r="E236" s="57"/>
      <c r="F236" s="55"/>
      <c r="G236" s="58"/>
      <c r="H236" s="58"/>
      <c r="I236" s="55"/>
      <c r="J236" s="55"/>
      <c r="K236" s="55"/>
      <c r="L236" s="55"/>
    </row>
    <row r="237">
      <c r="A237" s="60"/>
      <c r="B237" s="60"/>
      <c r="C237" s="60"/>
      <c r="D237" s="61"/>
      <c r="E237" s="61"/>
      <c r="F237" s="60"/>
      <c r="G237" s="62"/>
      <c r="H237" s="62"/>
      <c r="I237" s="60"/>
      <c r="J237" s="60"/>
      <c r="K237" s="60"/>
      <c r="L237" s="60"/>
    </row>
    <row r="238">
      <c r="A238" s="55"/>
      <c r="B238" s="55"/>
      <c r="C238" s="55"/>
      <c r="D238" s="57"/>
      <c r="E238" s="57"/>
      <c r="F238" s="55"/>
      <c r="G238" s="58"/>
      <c r="H238" s="58"/>
      <c r="I238" s="55"/>
      <c r="J238" s="55"/>
      <c r="K238" s="55"/>
      <c r="L238" s="55"/>
    </row>
    <row r="239">
      <c r="A239" s="60"/>
      <c r="B239" s="60"/>
      <c r="C239" s="60"/>
      <c r="D239" s="61"/>
      <c r="E239" s="61"/>
      <c r="F239" s="60"/>
      <c r="G239" s="62"/>
      <c r="H239" s="62"/>
      <c r="I239" s="60"/>
      <c r="J239" s="60"/>
      <c r="K239" s="60"/>
      <c r="L239" s="60"/>
    </row>
    <row r="240">
      <c r="A240" s="55"/>
      <c r="B240" s="55"/>
      <c r="C240" s="55"/>
      <c r="D240" s="57"/>
      <c r="E240" s="57"/>
      <c r="F240" s="55"/>
      <c r="G240" s="58"/>
      <c r="H240" s="58"/>
      <c r="I240" s="55"/>
      <c r="J240" s="55"/>
      <c r="K240" s="55"/>
      <c r="L240" s="55"/>
    </row>
    <row r="241">
      <c r="A241" s="60"/>
      <c r="B241" s="60"/>
      <c r="C241" s="60"/>
      <c r="D241" s="61"/>
      <c r="E241" s="61"/>
      <c r="F241" s="60"/>
      <c r="G241" s="62"/>
      <c r="H241" s="62"/>
      <c r="I241" s="60"/>
      <c r="J241" s="60"/>
      <c r="K241" s="60"/>
      <c r="L241" s="60"/>
    </row>
    <row r="242">
      <c r="A242" s="55"/>
      <c r="B242" s="55"/>
      <c r="C242" s="55"/>
      <c r="D242" s="57"/>
      <c r="E242" s="57"/>
      <c r="F242" s="55"/>
      <c r="G242" s="58"/>
      <c r="H242" s="58"/>
      <c r="I242" s="55"/>
      <c r="J242" s="55"/>
      <c r="K242" s="55"/>
      <c r="L242" s="55"/>
    </row>
    <row r="243">
      <c r="A243" s="60"/>
      <c r="B243" s="60"/>
      <c r="C243" s="60"/>
      <c r="D243" s="61"/>
      <c r="E243" s="61"/>
      <c r="F243" s="60"/>
      <c r="G243" s="62"/>
      <c r="H243" s="62"/>
      <c r="I243" s="60"/>
      <c r="J243" s="60"/>
      <c r="K243" s="60"/>
      <c r="L243" s="60"/>
    </row>
    <row r="244">
      <c r="A244" s="55"/>
      <c r="B244" s="55"/>
      <c r="C244" s="55"/>
      <c r="D244" s="57"/>
      <c r="E244" s="57"/>
      <c r="F244" s="55"/>
      <c r="G244" s="58"/>
      <c r="H244" s="58"/>
      <c r="I244" s="55"/>
      <c r="J244" s="55"/>
      <c r="K244" s="55"/>
      <c r="L244" s="55"/>
    </row>
    <row r="245">
      <c r="A245" s="60"/>
      <c r="B245" s="60"/>
      <c r="C245" s="60"/>
      <c r="D245" s="61"/>
      <c r="E245" s="61"/>
      <c r="F245" s="60"/>
      <c r="G245" s="62"/>
      <c r="H245" s="62"/>
      <c r="I245" s="60"/>
      <c r="J245" s="60"/>
      <c r="K245" s="60"/>
      <c r="L245" s="60"/>
    </row>
    <row r="246">
      <c r="A246" s="55"/>
      <c r="B246" s="55"/>
      <c r="C246" s="55"/>
      <c r="D246" s="57"/>
      <c r="E246" s="57"/>
      <c r="F246" s="55"/>
      <c r="G246" s="58"/>
      <c r="H246" s="58"/>
      <c r="I246" s="55"/>
      <c r="J246" s="55"/>
      <c r="K246" s="55"/>
      <c r="L246" s="55"/>
    </row>
    <row r="247">
      <c r="A247" s="60"/>
      <c r="B247" s="60"/>
      <c r="C247" s="60"/>
      <c r="D247" s="61"/>
      <c r="E247" s="61"/>
      <c r="F247" s="60"/>
      <c r="G247" s="62"/>
      <c r="H247" s="62"/>
      <c r="I247" s="60"/>
      <c r="J247" s="60"/>
      <c r="K247" s="60"/>
      <c r="L247" s="60"/>
    </row>
    <row r="248">
      <c r="A248" s="55"/>
      <c r="B248" s="55"/>
      <c r="C248" s="55"/>
      <c r="D248" s="57"/>
      <c r="E248" s="57"/>
      <c r="F248" s="55"/>
      <c r="G248" s="58"/>
      <c r="H248" s="58"/>
      <c r="I248" s="55"/>
      <c r="J248" s="55"/>
      <c r="K248" s="55"/>
      <c r="L248" s="55"/>
    </row>
    <row r="249">
      <c r="A249" s="60"/>
      <c r="B249" s="60"/>
      <c r="C249" s="60"/>
      <c r="D249" s="61"/>
      <c r="E249" s="61"/>
      <c r="F249" s="60"/>
      <c r="G249" s="62"/>
      <c r="H249" s="62"/>
      <c r="I249" s="60"/>
      <c r="J249" s="60"/>
      <c r="K249" s="60"/>
      <c r="L249" s="60"/>
    </row>
    <row r="250">
      <c r="A250" s="55"/>
      <c r="B250" s="55"/>
      <c r="C250" s="55"/>
      <c r="D250" s="57"/>
      <c r="E250" s="57"/>
      <c r="F250" s="55"/>
      <c r="G250" s="58"/>
      <c r="H250" s="58"/>
      <c r="I250" s="55"/>
      <c r="J250" s="55"/>
      <c r="K250" s="55"/>
      <c r="L250" s="55"/>
    </row>
  </sheetData>
  <autoFilter ref="$A$13:$L$250"/>
  <mergeCells count="19">
    <mergeCell ref="I6:J6"/>
    <mergeCell ref="K6:L6"/>
    <mergeCell ref="A1:L2"/>
    <mergeCell ref="A3:L3"/>
    <mergeCell ref="A4:L4"/>
    <mergeCell ref="A6:B6"/>
    <mergeCell ref="C6:D6"/>
    <mergeCell ref="E6:F6"/>
    <mergeCell ref="G6:H6"/>
    <mergeCell ref="A9:F9"/>
    <mergeCell ref="A10:F11"/>
    <mergeCell ref="G10:L11"/>
    <mergeCell ref="A7:B7"/>
    <mergeCell ref="C7:D7"/>
    <mergeCell ref="E7:F7"/>
    <mergeCell ref="G7:H7"/>
    <mergeCell ref="I7:J7"/>
    <mergeCell ref="K7:L7"/>
    <mergeCell ref="G9:L9"/>
  </mergeCells>
  <conditionalFormatting sqref="C14:C250">
    <cfRule type="expression" dxfId="2" priority="1" stopIfTrue="1">
      <formula>$C14="Booked"</formula>
    </cfRule>
  </conditionalFormatting>
  <conditionalFormatting sqref="C14:C250">
    <cfRule type="expression" dxfId="1" priority="2" stopIfTrue="1">
      <formula>$C14="Completed"</formula>
    </cfRule>
  </conditionalFormatting>
  <conditionalFormatting sqref="C14:C250">
    <cfRule type="expression" dxfId="3" priority="3" stopIfTrue="1">
      <formula>$C14="Wishlist"</formula>
    </cfRule>
  </conditionalFormatting>
  <dataValidations>
    <dataValidation type="custom" allowBlank="1" sqref="D14:E250">
      <formula1>OR(NOT(ISERROR(DATEVALUE(D14))), AND(ISNUMBER(D14), LEFT(CELL("format", D14))="D"))</formula1>
    </dataValidation>
    <dataValidation type="list" allowBlank="1" showErrorMessage="1" sqref="C14:C250">
      <formula1>"Wishlist,Planning,Booked,In Progress,Completed,Cancelled"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5" width="3.13"/>
    <col customWidth="1" min="6" max="6" width="13.25"/>
    <col customWidth="1" min="7" max="7" width="11.75"/>
    <col customWidth="1" min="8" max="8" width="9.5"/>
    <col customWidth="1" min="9" max="9" width="26.38"/>
    <col customWidth="1" min="10" max="10" width="9.5"/>
    <col customWidth="1" min="11" max="11" width="3.13"/>
    <col customWidth="1" min="12" max="12" width="11.38"/>
    <col customWidth="1" min="13" max="13" width="3.13"/>
    <col customWidth="1" min="14" max="14" width="10.13"/>
  </cols>
  <sheetData>
    <row r="1">
      <c r="A1" s="69" t="s">
        <v>193</v>
      </c>
    </row>
    <row r="3">
      <c r="A3" s="9" t="s">
        <v>194</v>
      </c>
    </row>
    <row r="4">
      <c r="A4" s="9" t="s">
        <v>195</v>
      </c>
    </row>
    <row r="6">
      <c r="A6" s="72" t="s">
        <v>196</v>
      </c>
      <c r="B6" s="72" t="s">
        <v>105</v>
      </c>
      <c r="C6" s="23"/>
      <c r="D6" s="23"/>
      <c r="E6" s="23"/>
      <c r="F6" s="23"/>
      <c r="G6" s="72" t="s">
        <v>185</v>
      </c>
      <c r="H6" s="72" t="str">
        <f t="array" ref="H6">IFERROR(INDEX('TRAVEL PLANNER'!$B$14:$B$250,MATCH($B$6,'TRAVEL PLANNER'!$A$14:$A$250,0)),"")</f>
        <v/>
      </c>
      <c r="I6" s="23"/>
      <c r="J6" s="23"/>
      <c r="K6" s="23"/>
      <c r="L6" s="23"/>
      <c r="M6" s="23"/>
      <c r="N6" s="23"/>
    </row>
    <row r="7">
      <c r="A7" s="72" t="s">
        <v>197</v>
      </c>
      <c r="B7" s="72" t="str">
        <f t="array" ref="B7">IFERROR(TEXT(INDEX('TRAVEL PLANNER'!$D$14:$D$250,MATCH($B$6,'TRAVEL PLANNER'!$A$14:$A$250,0)),"mmm d")&amp;" – "&amp;TEXT(INDEX('TRAVEL PLANNER'!$E$14:$E$250,MATCH($B$6,'TRAVEL PLANNER'!$A$14:$A$250,0)),"mmm d, yyyy"),"")</f>
        <v/>
      </c>
      <c r="C7" s="23"/>
      <c r="D7" s="23"/>
      <c r="E7" s="23"/>
      <c r="F7" s="23"/>
      <c r="G7" s="72" t="s">
        <v>187</v>
      </c>
      <c r="H7" s="72" t="str">
        <f t="array" ref="H7">IFERROR(INDEX('TRAVEL PLANNER'!$F$14:$F$250,MATCH($B$6,'TRAVEL PLANNER'!$A$14:$A$250,0)),"")</f>
        <v/>
      </c>
      <c r="I7" s="23"/>
      <c r="J7" s="23"/>
      <c r="K7" s="23"/>
      <c r="L7" s="23"/>
      <c r="M7" s="23"/>
      <c r="N7" s="23"/>
    </row>
    <row r="9">
      <c r="A9" s="79" t="s">
        <v>202</v>
      </c>
      <c r="H9" s="79" t="s">
        <v>203</v>
      </c>
    </row>
    <row r="10">
      <c r="A10" s="80"/>
      <c r="H10" s="142" t="str">
        <f t="array" ref="H10">IFERROR("Stay: "&amp;INDEX('TRAVEL PLANNER'!$J$14:$J$250,MATCH($B$6,'TRAVEL PLANNER'!$A$14:$A$250,0)),"")</f>
        <v/>
      </c>
      <c r="I10" s="23"/>
      <c r="J10" s="23"/>
      <c r="K10" s="23"/>
      <c r="L10" s="23"/>
      <c r="M10" s="23"/>
      <c r="N10" s="23"/>
    </row>
    <row r="11">
      <c r="H11" s="142" t="str">
        <f t="array" ref="H11">IFERROR("Transport: "&amp;INDEX('TRAVEL PLANNER'!$I$14:$I$250,MATCH($B$6,'TRAVEL PLANNER'!$A$14:$A$250,0)),"")</f>
        <v/>
      </c>
      <c r="I11" s="23"/>
      <c r="J11" s="23"/>
      <c r="K11" s="23"/>
      <c r="L11" s="23"/>
      <c r="M11" s="23"/>
      <c r="N11" s="23"/>
    </row>
    <row r="12">
      <c r="H12" s="80" t="str">
        <f t="array" ref="H12">IFERROR("Budget: "&amp;TEXT(INDEX('TRAVEL PLANNER'!$G$14:$G$250,MATCH($B$6,'TRAVEL PLANNER'!$A$14:$A$250,0)),"$#,##0"),"")</f>
        <v/>
      </c>
    </row>
    <row r="13">
      <c r="A13" s="23"/>
      <c r="B13" s="23"/>
      <c r="C13" s="23"/>
      <c r="D13" s="23"/>
      <c r="E13" s="23"/>
      <c r="F13" s="23"/>
      <c r="G13" s="23"/>
      <c r="H13" s="23"/>
      <c r="I13" s="23"/>
      <c r="J13" s="23"/>
      <c r="K13" s="23"/>
      <c r="L13" s="23"/>
      <c r="M13" s="23"/>
      <c r="N13" s="23"/>
    </row>
    <row r="15">
      <c r="A15" s="146" t="s">
        <v>223</v>
      </c>
    </row>
    <row r="16">
      <c r="A16" s="147" t="s">
        <v>225</v>
      </c>
      <c r="B16" s="147"/>
      <c r="C16" s="147"/>
      <c r="D16" s="147"/>
      <c r="E16" s="147"/>
      <c r="F16" s="147" t="s">
        <v>227</v>
      </c>
      <c r="G16" s="147"/>
      <c r="H16" s="147" t="s">
        <v>228</v>
      </c>
      <c r="I16" s="147" t="s">
        <v>71</v>
      </c>
      <c r="J16" s="147"/>
      <c r="K16" s="147"/>
      <c r="L16" s="147"/>
      <c r="M16" s="147"/>
      <c r="N16" s="147"/>
    </row>
    <row r="17">
      <c r="A17" s="148"/>
      <c r="B17" s="148"/>
      <c r="C17" s="148"/>
      <c r="D17" s="148"/>
      <c r="E17" s="148"/>
      <c r="F17" s="148"/>
      <c r="G17" s="148"/>
      <c r="H17" s="148" t="b">
        <v>0</v>
      </c>
      <c r="I17" s="148"/>
      <c r="J17" s="148"/>
      <c r="K17" s="148"/>
      <c r="L17" s="148"/>
      <c r="M17" s="148"/>
      <c r="N17" s="148"/>
    </row>
    <row r="18">
      <c r="A18" s="148"/>
      <c r="B18" s="148"/>
      <c r="C18" s="148"/>
      <c r="D18" s="148"/>
      <c r="E18" s="148"/>
      <c r="F18" s="148"/>
      <c r="G18" s="148"/>
      <c r="H18" s="148" t="b">
        <v>0</v>
      </c>
      <c r="I18" s="148"/>
      <c r="J18" s="148"/>
      <c r="K18" s="148"/>
      <c r="L18" s="148"/>
      <c r="M18" s="148"/>
      <c r="N18" s="148"/>
    </row>
    <row r="19">
      <c r="A19" s="148"/>
      <c r="B19" s="148"/>
      <c r="C19" s="148"/>
      <c r="D19" s="148"/>
      <c r="E19" s="148"/>
      <c r="F19" s="148"/>
      <c r="G19" s="148"/>
      <c r="H19" s="148" t="b">
        <v>0</v>
      </c>
      <c r="I19" s="148"/>
      <c r="J19" s="148"/>
      <c r="K19" s="148"/>
      <c r="L19" s="148"/>
      <c r="M19" s="148"/>
      <c r="N19" s="148"/>
    </row>
    <row r="20">
      <c r="A20" s="148"/>
      <c r="B20" s="148"/>
      <c r="C20" s="148"/>
      <c r="D20" s="148"/>
      <c r="E20" s="148"/>
      <c r="F20" s="148"/>
      <c r="G20" s="148"/>
      <c r="H20" s="148" t="b">
        <v>0</v>
      </c>
      <c r="I20" s="148"/>
      <c r="J20" s="148"/>
      <c r="K20" s="148"/>
      <c r="L20" s="148"/>
      <c r="M20" s="148"/>
      <c r="N20" s="148"/>
    </row>
    <row r="21">
      <c r="A21" s="148"/>
      <c r="B21" s="148"/>
      <c r="C21" s="148"/>
      <c r="D21" s="148"/>
      <c r="E21" s="148"/>
      <c r="F21" s="148"/>
      <c r="G21" s="148"/>
      <c r="H21" s="148" t="b">
        <v>0</v>
      </c>
      <c r="I21" s="148"/>
      <c r="J21" s="148"/>
      <c r="K21" s="148"/>
      <c r="L21" s="148"/>
      <c r="M21" s="148"/>
      <c r="N21" s="148"/>
    </row>
    <row r="22">
      <c r="A22" s="148"/>
      <c r="B22" s="148"/>
      <c r="C22" s="148"/>
      <c r="D22" s="148"/>
      <c r="E22" s="148"/>
      <c r="F22" s="148"/>
      <c r="G22" s="148"/>
      <c r="H22" s="148" t="b">
        <v>0</v>
      </c>
      <c r="I22" s="148"/>
      <c r="J22" s="148"/>
      <c r="K22" s="148"/>
      <c r="L22" s="148"/>
      <c r="M22" s="148"/>
      <c r="N22" s="148"/>
    </row>
    <row r="23">
      <c r="A23" s="148"/>
      <c r="B23" s="148"/>
      <c r="C23" s="148"/>
      <c r="D23" s="148"/>
      <c r="E23" s="148"/>
      <c r="F23" s="148"/>
      <c r="G23" s="148"/>
      <c r="H23" s="148" t="b">
        <v>0</v>
      </c>
      <c r="I23" s="148"/>
      <c r="J23" s="148"/>
      <c r="K23" s="148"/>
      <c r="L23" s="148"/>
      <c r="M23" s="148"/>
      <c r="N23" s="148"/>
    </row>
    <row r="24">
      <c r="A24" s="148"/>
      <c r="B24" s="148"/>
      <c r="C24" s="148"/>
      <c r="D24" s="148"/>
      <c r="E24" s="148"/>
      <c r="F24" s="148"/>
      <c r="G24" s="148"/>
      <c r="H24" s="148" t="b">
        <v>0</v>
      </c>
      <c r="I24" s="148"/>
      <c r="J24" s="148"/>
      <c r="K24" s="148"/>
      <c r="L24" s="148"/>
      <c r="M24" s="148"/>
      <c r="N24" s="148"/>
    </row>
    <row r="26">
      <c r="A26" s="79" t="s">
        <v>245</v>
      </c>
    </row>
    <row r="27">
      <c r="A27" s="147" t="s">
        <v>247</v>
      </c>
      <c r="B27" s="147"/>
      <c r="C27" s="147"/>
      <c r="D27" s="147"/>
      <c r="E27" s="147"/>
      <c r="F27" s="147" t="s">
        <v>59</v>
      </c>
      <c r="G27" s="147"/>
      <c r="H27" s="147" t="s">
        <v>227</v>
      </c>
      <c r="I27" s="147"/>
      <c r="J27" s="147" t="s">
        <v>249</v>
      </c>
      <c r="K27" s="147" t="s">
        <v>71</v>
      </c>
      <c r="L27" s="147"/>
      <c r="M27" s="147"/>
      <c r="N27" s="147"/>
    </row>
    <row r="28">
      <c r="A28" s="149"/>
      <c r="B28" s="149"/>
      <c r="C28" s="149"/>
      <c r="D28" s="149"/>
      <c r="E28" s="149"/>
      <c r="F28" s="149"/>
      <c r="G28" s="149"/>
      <c r="H28" s="149"/>
      <c r="I28" s="149"/>
      <c r="J28" s="149" t="b">
        <v>0</v>
      </c>
      <c r="K28" s="149"/>
      <c r="L28" s="149"/>
      <c r="M28" s="149"/>
      <c r="N28" s="149"/>
    </row>
    <row r="29">
      <c r="A29" s="149"/>
      <c r="B29" s="149"/>
      <c r="C29" s="149"/>
      <c r="D29" s="149"/>
      <c r="E29" s="149"/>
      <c r="F29" s="149"/>
      <c r="G29" s="149"/>
      <c r="H29" s="149"/>
      <c r="I29" s="149"/>
      <c r="J29" s="149" t="b">
        <v>0</v>
      </c>
      <c r="K29" s="149"/>
      <c r="L29" s="149"/>
      <c r="M29" s="149"/>
      <c r="N29" s="149"/>
    </row>
    <row r="30">
      <c r="A30" s="149"/>
      <c r="B30" s="149"/>
      <c r="C30" s="149"/>
      <c r="D30" s="149"/>
      <c r="E30" s="149"/>
      <c r="F30" s="149"/>
      <c r="G30" s="149"/>
      <c r="H30" s="149"/>
      <c r="I30" s="149"/>
      <c r="J30" s="149" t="b">
        <v>0</v>
      </c>
      <c r="K30" s="149"/>
      <c r="L30" s="149"/>
      <c r="M30" s="149"/>
      <c r="N30" s="149"/>
    </row>
    <row r="31">
      <c r="A31" s="149"/>
      <c r="B31" s="149"/>
      <c r="C31" s="149"/>
      <c r="D31" s="149"/>
      <c r="E31" s="149"/>
      <c r="F31" s="149"/>
      <c r="G31" s="149"/>
      <c r="H31" s="149"/>
      <c r="I31" s="149"/>
      <c r="J31" s="149" t="b">
        <v>0</v>
      </c>
      <c r="K31" s="149"/>
      <c r="L31" s="149"/>
      <c r="M31" s="149"/>
      <c r="N31" s="149"/>
    </row>
    <row r="32">
      <c r="A32" s="149"/>
      <c r="B32" s="149"/>
      <c r="C32" s="149"/>
      <c r="D32" s="149"/>
      <c r="E32" s="149"/>
      <c r="F32" s="149"/>
      <c r="G32" s="149"/>
      <c r="H32" s="149"/>
      <c r="I32" s="149"/>
      <c r="J32" s="149" t="b">
        <v>0</v>
      </c>
      <c r="K32" s="149"/>
      <c r="L32" s="149"/>
      <c r="M32" s="149"/>
      <c r="N32" s="149"/>
    </row>
    <row r="33">
      <c r="A33" s="149"/>
      <c r="B33" s="149"/>
      <c r="C33" s="149"/>
      <c r="D33" s="149"/>
      <c r="E33" s="149"/>
      <c r="F33" s="149"/>
      <c r="G33" s="149"/>
      <c r="H33" s="149"/>
      <c r="I33" s="149"/>
      <c r="J33" s="149" t="b">
        <v>0</v>
      </c>
      <c r="K33" s="149"/>
      <c r="L33" s="149"/>
      <c r="M33" s="149"/>
      <c r="N33" s="149"/>
    </row>
    <row r="34">
      <c r="A34" s="149"/>
      <c r="B34" s="149"/>
      <c r="C34" s="149"/>
      <c r="D34" s="149"/>
      <c r="E34" s="149"/>
      <c r="F34" s="149"/>
      <c r="G34" s="149"/>
      <c r="H34" s="149"/>
      <c r="I34" s="149"/>
      <c r="J34" s="149" t="b">
        <v>0</v>
      </c>
      <c r="K34" s="149"/>
      <c r="L34" s="149"/>
      <c r="M34" s="149"/>
      <c r="N34" s="149"/>
    </row>
    <row r="35">
      <c r="A35" s="149"/>
      <c r="B35" s="149"/>
      <c r="C35" s="149"/>
      <c r="D35" s="149"/>
      <c r="E35" s="149"/>
      <c r="F35" s="149"/>
      <c r="G35" s="149"/>
      <c r="H35" s="149"/>
      <c r="I35" s="149"/>
      <c r="J35" s="149" t="b">
        <v>0</v>
      </c>
      <c r="K35" s="149"/>
      <c r="L35" s="149"/>
      <c r="M35" s="149"/>
      <c r="N35" s="149"/>
    </row>
    <row r="37">
      <c r="A37" s="146" t="s">
        <v>267</v>
      </c>
    </row>
    <row r="38">
      <c r="A38" s="147" t="s">
        <v>62</v>
      </c>
      <c r="B38" s="147"/>
      <c r="C38" s="147" t="s">
        <v>268</v>
      </c>
      <c r="D38" s="147"/>
      <c r="E38" s="147" t="s">
        <v>269</v>
      </c>
      <c r="F38" s="147"/>
      <c r="G38" s="147"/>
      <c r="H38" s="147"/>
      <c r="I38" s="147" t="s">
        <v>61</v>
      </c>
      <c r="J38" s="147"/>
      <c r="K38" s="147"/>
      <c r="L38" s="147" t="s">
        <v>127</v>
      </c>
      <c r="M38" s="147"/>
      <c r="N38" s="147" t="s">
        <v>270</v>
      </c>
    </row>
    <row r="39">
      <c r="A39" s="150"/>
      <c r="B39" s="148"/>
      <c r="C39" s="148"/>
      <c r="D39" s="148"/>
      <c r="E39" s="148"/>
      <c r="F39" s="148"/>
      <c r="G39" s="148"/>
      <c r="H39" s="148"/>
      <c r="I39" s="148"/>
      <c r="J39" s="148"/>
      <c r="K39" s="148"/>
      <c r="L39" s="151"/>
      <c r="M39" s="148"/>
      <c r="N39" s="148" t="b">
        <v>0</v>
      </c>
    </row>
    <row r="40">
      <c r="A40" s="150"/>
      <c r="B40" s="148"/>
      <c r="C40" s="148"/>
      <c r="D40" s="148"/>
      <c r="E40" s="148"/>
      <c r="F40" s="148"/>
      <c r="G40" s="148"/>
      <c r="H40" s="148"/>
      <c r="I40" s="148"/>
      <c r="J40" s="148"/>
      <c r="K40" s="148"/>
      <c r="L40" s="151"/>
      <c r="M40" s="148"/>
      <c r="N40" s="148" t="b">
        <v>0</v>
      </c>
    </row>
    <row r="41">
      <c r="A41" s="150"/>
      <c r="B41" s="148"/>
      <c r="C41" s="148"/>
      <c r="D41" s="148"/>
      <c r="E41" s="148"/>
      <c r="F41" s="148"/>
      <c r="G41" s="148"/>
      <c r="H41" s="148"/>
      <c r="I41" s="148"/>
      <c r="J41" s="148"/>
      <c r="K41" s="148"/>
      <c r="L41" s="151"/>
      <c r="M41" s="148"/>
      <c r="N41" s="148" t="b">
        <v>0</v>
      </c>
    </row>
    <row r="42">
      <c r="A42" s="150"/>
      <c r="B42" s="148"/>
      <c r="C42" s="148"/>
      <c r="D42" s="148"/>
      <c r="E42" s="148"/>
      <c r="F42" s="148"/>
      <c r="G42" s="148"/>
      <c r="H42" s="148"/>
      <c r="I42" s="148"/>
      <c r="J42" s="148"/>
      <c r="K42" s="148"/>
      <c r="L42" s="151"/>
      <c r="M42" s="148"/>
      <c r="N42" s="148" t="b">
        <v>0</v>
      </c>
    </row>
    <row r="43">
      <c r="A43" s="150"/>
      <c r="B43" s="148"/>
      <c r="C43" s="148"/>
      <c r="D43" s="148"/>
      <c r="E43" s="148"/>
      <c r="F43" s="148"/>
      <c r="G43" s="148"/>
      <c r="H43" s="148"/>
      <c r="I43" s="148"/>
      <c r="J43" s="148"/>
      <c r="K43" s="148"/>
      <c r="L43" s="151"/>
      <c r="M43" s="148"/>
      <c r="N43" s="148" t="b">
        <v>0</v>
      </c>
    </row>
    <row r="44">
      <c r="A44" s="150"/>
      <c r="B44" s="148"/>
      <c r="C44" s="148"/>
      <c r="D44" s="148"/>
      <c r="E44" s="148"/>
      <c r="F44" s="148"/>
      <c r="G44" s="148"/>
      <c r="H44" s="148"/>
      <c r="I44" s="148"/>
      <c r="J44" s="148"/>
      <c r="K44" s="148"/>
      <c r="L44" s="151"/>
      <c r="M44" s="148"/>
      <c r="N44" s="148" t="b">
        <v>0</v>
      </c>
    </row>
    <row r="45">
      <c r="A45" s="150"/>
      <c r="B45" s="148"/>
      <c r="C45" s="148"/>
      <c r="D45" s="148"/>
      <c r="E45" s="148"/>
      <c r="F45" s="148"/>
      <c r="G45" s="148"/>
      <c r="H45" s="148"/>
      <c r="I45" s="148"/>
      <c r="J45" s="148"/>
      <c r="K45" s="148"/>
      <c r="L45" s="151"/>
      <c r="M45" s="148"/>
      <c r="N45" s="148" t="b">
        <v>0</v>
      </c>
    </row>
    <row r="46">
      <c r="A46" s="150"/>
      <c r="B46" s="148"/>
      <c r="C46" s="148"/>
      <c r="D46" s="148"/>
      <c r="E46" s="148"/>
      <c r="F46" s="148"/>
      <c r="G46" s="148"/>
      <c r="H46" s="148"/>
      <c r="I46" s="148"/>
      <c r="J46" s="148"/>
      <c r="K46" s="148"/>
      <c r="L46" s="151"/>
      <c r="M46" s="148"/>
      <c r="N46" s="148" t="b">
        <v>0</v>
      </c>
    </row>
    <row r="47">
      <c r="A47" s="150"/>
      <c r="B47" s="148"/>
      <c r="C47" s="148"/>
      <c r="D47" s="148"/>
      <c r="E47" s="148"/>
      <c r="F47" s="148"/>
      <c r="G47" s="148"/>
      <c r="H47" s="148"/>
      <c r="I47" s="148"/>
      <c r="J47" s="148"/>
      <c r="K47" s="148"/>
      <c r="L47" s="151"/>
      <c r="M47" s="148"/>
      <c r="N47" s="148" t="b">
        <v>0</v>
      </c>
    </row>
    <row r="48">
      <c r="A48" s="150"/>
      <c r="B48" s="148"/>
      <c r="C48" s="148"/>
      <c r="D48" s="148"/>
      <c r="E48" s="148"/>
      <c r="F48" s="148"/>
      <c r="G48" s="148"/>
      <c r="H48" s="148"/>
      <c r="I48" s="148"/>
      <c r="J48" s="148"/>
      <c r="K48" s="148"/>
      <c r="L48" s="151"/>
      <c r="M48" s="148"/>
      <c r="N48" s="148" t="b">
        <v>0</v>
      </c>
    </row>
    <row r="49">
      <c r="A49" s="150"/>
      <c r="B49" s="148"/>
      <c r="C49" s="148"/>
      <c r="D49" s="148"/>
      <c r="E49" s="148"/>
      <c r="F49" s="148"/>
      <c r="G49" s="148"/>
      <c r="H49" s="148"/>
      <c r="I49" s="148"/>
      <c r="J49" s="148"/>
      <c r="K49" s="148"/>
      <c r="L49" s="151"/>
      <c r="M49" s="148"/>
      <c r="N49" s="148" t="b">
        <v>0</v>
      </c>
    </row>
    <row r="50">
      <c r="A50" s="150"/>
      <c r="B50" s="148"/>
      <c r="C50" s="148"/>
      <c r="D50" s="148"/>
      <c r="E50" s="148"/>
      <c r="F50" s="148"/>
      <c r="G50" s="148"/>
      <c r="H50" s="148"/>
      <c r="I50" s="148"/>
      <c r="J50" s="148"/>
      <c r="K50" s="148"/>
      <c r="L50" s="151"/>
      <c r="M50" s="148"/>
      <c r="N50" s="148" t="b">
        <v>0</v>
      </c>
    </row>
    <row r="51">
      <c r="A51" s="150"/>
      <c r="B51" s="148"/>
      <c r="C51" s="148"/>
      <c r="D51" s="148"/>
      <c r="E51" s="148"/>
      <c r="F51" s="148"/>
      <c r="G51" s="148"/>
      <c r="H51" s="148"/>
      <c r="I51" s="148"/>
      <c r="J51" s="148"/>
      <c r="K51" s="148"/>
      <c r="L51" s="151"/>
      <c r="M51" s="148"/>
      <c r="N51" s="148" t="b">
        <v>0</v>
      </c>
    </row>
    <row r="52">
      <c r="A52" s="150"/>
      <c r="B52" s="148"/>
      <c r="C52" s="148"/>
      <c r="D52" s="148"/>
      <c r="E52" s="148"/>
      <c r="F52" s="148"/>
      <c r="G52" s="148"/>
      <c r="H52" s="148"/>
      <c r="I52" s="148"/>
      <c r="J52" s="148"/>
      <c r="K52" s="148"/>
      <c r="L52" s="151"/>
      <c r="M52" s="148"/>
      <c r="N52" s="148" t="b">
        <v>0</v>
      </c>
    </row>
    <row r="53">
      <c r="A53" s="150"/>
      <c r="B53" s="148"/>
      <c r="C53" s="148"/>
      <c r="D53" s="148"/>
      <c r="E53" s="148"/>
      <c r="F53" s="148"/>
      <c r="G53" s="148"/>
      <c r="H53" s="148"/>
      <c r="I53" s="148"/>
      <c r="J53" s="148"/>
      <c r="K53" s="148"/>
      <c r="L53" s="151"/>
      <c r="M53" s="148"/>
      <c r="N53" s="148" t="b">
        <v>0</v>
      </c>
    </row>
    <row r="54">
      <c r="A54" s="150"/>
      <c r="B54" s="148"/>
      <c r="C54" s="148"/>
      <c r="D54" s="148"/>
      <c r="E54" s="148"/>
      <c r="F54" s="148"/>
      <c r="G54" s="148"/>
      <c r="H54" s="148"/>
      <c r="I54" s="148"/>
      <c r="J54" s="148"/>
      <c r="K54" s="148"/>
      <c r="L54" s="151"/>
      <c r="M54" s="148"/>
      <c r="N54" s="148" t="b">
        <v>0</v>
      </c>
    </row>
    <row r="55">
      <c r="A55" s="150"/>
      <c r="B55" s="148"/>
      <c r="C55" s="148"/>
      <c r="D55" s="148"/>
      <c r="E55" s="148"/>
      <c r="F55" s="148"/>
      <c r="G55" s="148"/>
      <c r="H55" s="148"/>
      <c r="I55" s="148"/>
      <c r="J55" s="148"/>
      <c r="K55" s="148"/>
      <c r="L55" s="151"/>
      <c r="M55" s="148"/>
      <c r="N55" s="148" t="b">
        <v>0</v>
      </c>
    </row>
    <row r="56">
      <c r="A56" s="150"/>
      <c r="B56" s="148"/>
      <c r="C56" s="148"/>
      <c r="D56" s="148"/>
      <c r="E56" s="148"/>
      <c r="F56" s="148"/>
      <c r="G56" s="148"/>
      <c r="H56" s="148"/>
      <c r="I56" s="148"/>
      <c r="J56" s="148"/>
      <c r="K56" s="148"/>
      <c r="L56" s="151"/>
      <c r="M56" s="148"/>
      <c r="N56" s="148" t="b">
        <v>0</v>
      </c>
    </row>
    <row r="57">
      <c r="A57" s="150"/>
      <c r="B57" s="148"/>
      <c r="C57" s="148"/>
      <c r="D57" s="148"/>
      <c r="E57" s="148"/>
      <c r="F57" s="148"/>
      <c r="G57" s="148"/>
      <c r="H57" s="148"/>
      <c r="I57" s="148"/>
      <c r="J57" s="148"/>
      <c r="K57" s="148"/>
      <c r="L57" s="151"/>
      <c r="M57" s="148"/>
      <c r="N57" s="148" t="b">
        <v>0</v>
      </c>
    </row>
    <row r="58">
      <c r="A58" s="150"/>
      <c r="B58" s="148"/>
      <c r="C58" s="148"/>
      <c r="D58" s="148"/>
      <c r="E58" s="148"/>
      <c r="F58" s="148"/>
      <c r="G58" s="148"/>
      <c r="H58" s="148"/>
      <c r="I58" s="148"/>
      <c r="J58" s="148"/>
      <c r="K58" s="148"/>
      <c r="L58" s="151"/>
      <c r="M58" s="148"/>
      <c r="N58" s="148" t="b">
        <v>0</v>
      </c>
    </row>
    <row r="60">
      <c r="A60" s="79" t="s">
        <v>271</v>
      </c>
    </row>
    <row r="61">
      <c r="A61" s="147" t="s">
        <v>59</v>
      </c>
      <c r="B61" s="147"/>
      <c r="C61" s="147"/>
      <c r="D61" s="147" t="s">
        <v>272</v>
      </c>
      <c r="E61" s="147"/>
      <c r="F61" s="147"/>
      <c r="G61" s="147" t="s">
        <v>273</v>
      </c>
      <c r="H61" s="147"/>
      <c r="I61" s="147" t="s">
        <v>274</v>
      </c>
      <c r="J61" s="147"/>
      <c r="K61" s="147"/>
      <c r="L61" s="147" t="s">
        <v>275</v>
      </c>
      <c r="M61" s="147"/>
      <c r="N61" s="147"/>
    </row>
    <row r="62">
      <c r="A62" s="149"/>
      <c r="B62" s="149"/>
      <c r="C62" s="149"/>
      <c r="D62" s="149"/>
      <c r="E62" s="149"/>
      <c r="F62" s="149"/>
      <c r="G62" s="149"/>
      <c r="H62" s="149"/>
      <c r="I62" s="149"/>
      <c r="J62" s="149"/>
      <c r="K62" s="149"/>
      <c r="L62" s="149"/>
      <c r="M62" s="149"/>
      <c r="N62" s="149"/>
    </row>
    <row r="63">
      <c r="A63" s="149"/>
      <c r="B63" s="149"/>
      <c r="C63" s="149"/>
      <c r="D63" s="149"/>
      <c r="E63" s="149"/>
      <c r="F63" s="149"/>
      <c r="G63" s="149"/>
      <c r="H63" s="149"/>
      <c r="I63" s="149"/>
      <c r="J63" s="149"/>
      <c r="K63" s="149"/>
      <c r="L63" s="149"/>
      <c r="M63" s="149"/>
      <c r="N63" s="149"/>
    </row>
    <row r="64">
      <c r="A64" s="149"/>
      <c r="B64" s="149"/>
      <c r="C64" s="149"/>
      <c r="D64" s="149"/>
      <c r="E64" s="149"/>
      <c r="F64" s="149"/>
      <c r="G64" s="149"/>
      <c r="H64" s="149"/>
      <c r="I64" s="149"/>
      <c r="J64" s="149"/>
      <c r="K64" s="149"/>
      <c r="L64" s="149"/>
      <c r="M64" s="149"/>
      <c r="N64" s="149"/>
    </row>
    <row r="65">
      <c r="A65" s="149"/>
      <c r="B65" s="149"/>
      <c r="C65" s="149"/>
      <c r="D65" s="149"/>
      <c r="E65" s="149"/>
      <c r="F65" s="149"/>
      <c r="G65" s="149"/>
      <c r="H65" s="149"/>
      <c r="I65" s="149"/>
      <c r="J65" s="149"/>
      <c r="K65" s="149"/>
      <c r="L65" s="149"/>
      <c r="M65" s="149"/>
      <c r="N65" s="149"/>
    </row>
    <row r="66">
      <c r="A66" s="149"/>
      <c r="B66" s="149"/>
      <c r="C66" s="149"/>
      <c r="D66" s="149"/>
      <c r="E66" s="149"/>
      <c r="F66" s="149"/>
      <c r="G66" s="149"/>
      <c r="H66" s="149"/>
      <c r="I66" s="149"/>
      <c r="J66" s="149"/>
      <c r="K66" s="149"/>
      <c r="L66" s="149"/>
      <c r="M66" s="149"/>
      <c r="N66" s="149"/>
    </row>
    <row r="67">
      <c r="A67" s="149"/>
      <c r="B67" s="149"/>
      <c r="C67" s="149"/>
      <c r="D67" s="149"/>
      <c r="E67" s="149"/>
      <c r="F67" s="149"/>
      <c r="G67" s="149"/>
      <c r="H67" s="149"/>
      <c r="I67" s="149"/>
      <c r="J67" s="149"/>
      <c r="K67" s="149"/>
      <c r="L67" s="149"/>
      <c r="M67" s="149"/>
      <c r="N67" s="149"/>
    </row>
    <row r="68">
      <c r="A68" s="149"/>
      <c r="B68" s="149"/>
      <c r="C68" s="149"/>
      <c r="D68" s="149"/>
      <c r="E68" s="149"/>
      <c r="F68" s="149"/>
      <c r="G68" s="149"/>
      <c r="H68" s="149"/>
      <c r="I68" s="149"/>
      <c r="J68" s="149"/>
      <c r="K68" s="149"/>
      <c r="L68" s="149"/>
      <c r="M68" s="149"/>
      <c r="N68" s="149"/>
    </row>
    <row r="69">
      <c r="A69" s="149"/>
      <c r="B69" s="149"/>
      <c r="C69" s="149"/>
      <c r="D69" s="149"/>
      <c r="E69" s="149"/>
      <c r="F69" s="149"/>
      <c r="G69" s="149"/>
      <c r="H69" s="149"/>
      <c r="I69" s="149"/>
      <c r="J69" s="149"/>
      <c r="K69" s="149"/>
      <c r="L69" s="149"/>
      <c r="M69" s="149"/>
      <c r="N69" s="149"/>
    </row>
    <row r="70">
      <c r="A70" s="149"/>
      <c r="B70" s="149"/>
      <c r="C70" s="149"/>
      <c r="D70" s="149"/>
      <c r="E70" s="149"/>
      <c r="F70" s="149"/>
      <c r="G70" s="149"/>
      <c r="H70" s="149"/>
      <c r="I70" s="149"/>
      <c r="J70" s="149"/>
      <c r="K70" s="149"/>
      <c r="L70" s="149"/>
      <c r="M70" s="149"/>
      <c r="N70" s="149"/>
    </row>
  </sheetData>
  <mergeCells count="17">
    <mergeCell ref="A1:N2"/>
    <mergeCell ref="A3:N3"/>
    <mergeCell ref="A4:N4"/>
    <mergeCell ref="B6:F6"/>
    <mergeCell ref="H6:N6"/>
    <mergeCell ref="B7:F7"/>
    <mergeCell ref="H7:N7"/>
    <mergeCell ref="A26:N26"/>
    <mergeCell ref="A37:N37"/>
    <mergeCell ref="A60:N60"/>
    <mergeCell ref="A9:G9"/>
    <mergeCell ref="H9:N9"/>
    <mergeCell ref="A10:G13"/>
    <mergeCell ref="H10:N10"/>
    <mergeCell ref="H11:N11"/>
    <mergeCell ref="H12:N13"/>
    <mergeCell ref="A15:N15"/>
  </mergeCells>
  <dataValidations>
    <dataValidation type="list" allowBlank="1" sqref="B6">
      <formula1>'TRAVEL PLANNER'!$A$14:$A$250</formula1>
    </dataValidation>
    <dataValidation type="list" allowBlank="1" sqref="F28:F35">
      <formula1>"Breakfast,Lunch,Dinner,Snack,Drink,Treat,Other"</formula1>
    </dataValidation>
    <dataValidation type="list" allowBlank="1" sqref="H28:H35">
      <formula1>"Must Try,Would Like,Maybe"</formula1>
    </dataValidation>
    <dataValidation type="list" allowBlank="1" sqref="F17:F24">
      <formula1>"High,Medium,Low"</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15.13"/>
    <col customWidth="1" min="2" max="2" width="27.63"/>
    <col customWidth="1" min="3" max="3" width="9.88"/>
    <col customWidth="1" min="4" max="4" width="13.88"/>
    <col customWidth="1" min="5" max="5" width="8.25"/>
    <col customWidth="1" min="6" max="6" width="28.88"/>
  </cols>
  <sheetData>
    <row r="1">
      <c r="A1" s="69" t="s">
        <v>198</v>
      </c>
    </row>
    <row r="3">
      <c r="A3" s="9" t="s">
        <v>199</v>
      </c>
    </row>
    <row r="4">
      <c r="A4" s="9" t="s">
        <v>200</v>
      </c>
    </row>
    <row r="6">
      <c r="A6" s="72" t="s">
        <v>196</v>
      </c>
      <c r="B6" s="72" t="s">
        <v>105</v>
      </c>
      <c r="C6" s="23"/>
      <c r="D6" s="23"/>
      <c r="E6" s="72" t="s">
        <v>201</v>
      </c>
      <c r="F6" s="72">
        <f>COUNTIF($C$11:$C$80,TRUE)</f>
        <v>0</v>
      </c>
      <c r="G6" s="72" t="s">
        <v>204</v>
      </c>
      <c r="H6" s="72">
        <f>COUNTA($B$11:$B$80)</f>
        <v>55</v>
      </c>
    </row>
    <row r="7">
      <c r="A7" s="72" t="s">
        <v>30</v>
      </c>
      <c r="B7" s="72"/>
      <c r="C7" s="72" t="str">
        <f>IFERROR(__xludf.DUMMYFUNCTION("IFERROR(SPARKLINE($F$6/$H$6,{""charttype"",""bar"";""max"",1;""color1"",""#D5AE5E""}),"""")"),"")</f>
        <v/>
      </c>
      <c r="D7" s="23"/>
      <c r="E7" s="23"/>
      <c r="F7" s="23"/>
      <c r="G7" s="23"/>
      <c r="H7" s="23"/>
    </row>
    <row r="9">
      <c r="A9" s="79" t="s">
        <v>205</v>
      </c>
    </row>
    <row r="10">
      <c r="A10" s="143" t="s">
        <v>206</v>
      </c>
      <c r="B10" s="143" t="s">
        <v>207</v>
      </c>
      <c r="C10" s="143" t="s">
        <v>208</v>
      </c>
      <c r="D10" s="143" t="s">
        <v>209</v>
      </c>
      <c r="E10" s="143" t="s">
        <v>210</v>
      </c>
      <c r="F10" s="143" t="s">
        <v>71</v>
      </c>
    </row>
    <row r="11">
      <c r="A11" s="144" t="s">
        <v>211</v>
      </c>
      <c r="B11" s="145" t="s">
        <v>212</v>
      </c>
      <c r="C11" s="145" t="b">
        <v>0</v>
      </c>
      <c r="D11" s="145"/>
      <c r="E11" s="145"/>
      <c r="F11" s="145"/>
    </row>
    <row r="12">
      <c r="A12" s="144" t="s">
        <v>211</v>
      </c>
      <c r="B12" s="145" t="s">
        <v>213</v>
      </c>
      <c r="C12" s="145" t="b">
        <v>0</v>
      </c>
      <c r="D12" s="145"/>
      <c r="E12" s="145"/>
      <c r="F12" s="145"/>
    </row>
    <row r="13">
      <c r="A13" s="144" t="s">
        <v>211</v>
      </c>
      <c r="B13" s="145" t="s">
        <v>214</v>
      </c>
      <c r="C13" s="145" t="b">
        <v>0</v>
      </c>
      <c r="D13" s="145"/>
      <c r="E13" s="145"/>
      <c r="F13" s="145"/>
    </row>
    <row r="14">
      <c r="A14" s="144" t="s">
        <v>211</v>
      </c>
      <c r="B14" s="145" t="s">
        <v>215</v>
      </c>
      <c r="C14" s="145" t="b">
        <v>0</v>
      </c>
      <c r="D14" s="145"/>
      <c r="E14" s="145"/>
      <c r="F14" s="145"/>
    </row>
    <row r="15">
      <c r="A15" s="144" t="s">
        <v>216</v>
      </c>
      <c r="B15" s="145" t="s">
        <v>217</v>
      </c>
      <c r="C15" s="145" t="b">
        <v>0</v>
      </c>
      <c r="D15" s="145"/>
      <c r="E15" s="145"/>
      <c r="F15" s="145"/>
    </row>
    <row r="16">
      <c r="A16" s="144" t="s">
        <v>216</v>
      </c>
      <c r="B16" s="145" t="s">
        <v>218</v>
      </c>
      <c r="C16" s="145" t="b">
        <v>0</v>
      </c>
      <c r="D16" s="145"/>
      <c r="E16" s="145"/>
      <c r="F16" s="145"/>
    </row>
    <row r="17">
      <c r="A17" s="144" t="s">
        <v>216</v>
      </c>
      <c r="B17" s="145" t="s">
        <v>219</v>
      </c>
      <c r="C17" s="145" t="b">
        <v>0</v>
      </c>
      <c r="D17" s="145"/>
      <c r="E17" s="145"/>
      <c r="F17" s="145"/>
    </row>
    <row r="18">
      <c r="A18" s="144" t="s">
        <v>216</v>
      </c>
      <c r="B18" s="145" t="s">
        <v>220</v>
      </c>
      <c r="C18" s="145" t="b">
        <v>0</v>
      </c>
      <c r="D18" s="145"/>
      <c r="E18" s="145"/>
      <c r="F18" s="145"/>
    </row>
    <row r="19">
      <c r="A19" s="144" t="s">
        <v>221</v>
      </c>
      <c r="B19" s="145" t="s">
        <v>222</v>
      </c>
      <c r="C19" s="145" t="b">
        <v>0</v>
      </c>
      <c r="D19" s="145"/>
      <c r="E19" s="145"/>
      <c r="F19" s="145"/>
    </row>
    <row r="20">
      <c r="A20" s="144" t="s">
        <v>221</v>
      </c>
      <c r="B20" s="145" t="s">
        <v>224</v>
      </c>
      <c r="C20" s="145" t="b">
        <v>0</v>
      </c>
      <c r="D20" s="145"/>
      <c r="E20" s="145"/>
      <c r="F20" s="145"/>
    </row>
    <row r="21">
      <c r="A21" s="144" t="s">
        <v>221</v>
      </c>
      <c r="B21" s="145" t="s">
        <v>226</v>
      </c>
      <c r="C21" s="145" t="b">
        <v>0</v>
      </c>
      <c r="D21" s="145"/>
      <c r="E21" s="145"/>
      <c r="F21" s="145"/>
    </row>
    <row r="22">
      <c r="A22" s="144" t="s">
        <v>221</v>
      </c>
      <c r="B22" s="145" t="s">
        <v>229</v>
      </c>
      <c r="C22" s="145" t="b">
        <v>0</v>
      </c>
      <c r="D22" s="145"/>
      <c r="E22" s="145"/>
      <c r="F22" s="145"/>
    </row>
    <row r="23">
      <c r="A23" s="144" t="s">
        <v>221</v>
      </c>
      <c r="B23" s="145" t="s">
        <v>230</v>
      </c>
      <c r="C23" s="145" t="b">
        <v>0</v>
      </c>
      <c r="D23" s="145"/>
      <c r="E23" s="145"/>
      <c r="F23" s="145"/>
    </row>
    <row r="24">
      <c r="A24" s="144" t="s">
        <v>221</v>
      </c>
      <c r="B24" s="145" t="s">
        <v>231</v>
      </c>
      <c r="C24" s="145" t="b">
        <v>0</v>
      </c>
      <c r="D24" s="145"/>
      <c r="E24" s="145"/>
      <c r="F24" s="145"/>
    </row>
    <row r="25">
      <c r="A25" s="144" t="s">
        <v>232</v>
      </c>
      <c r="B25" s="145" t="s">
        <v>233</v>
      </c>
      <c r="C25" s="145" t="b">
        <v>0</v>
      </c>
      <c r="D25" s="145"/>
      <c r="E25" s="145"/>
      <c r="F25" s="145"/>
    </row>
    <row r="26">
      <c r="A26" s="144" t="s">
        <v>232</v>
      </c>
      <c r="B26" s="145" t="s">
        <v>234</v>
      </c>
      <c r="C26" s="145" t="b">
        <v>0</v>
      </c>
      <c r="D26" s="145"/>
      <c r="E26" s="145"/>
      <c r="F26" s="145"/>
    </row>
    <row r="27">
      <c r="A27" s="144" t="s">
        <v>232</v>
      </c>
      <c r="B27" s="145" t="s">
        <v>235</v>
      </c>
      <c r="C27" s="145" t="b">
        <v>0</v>
      </c>
      <c r="D27" s="145"/>
      <c r="E27" s="145"/>
      <c r="F27" s="145"/>
    </row>
    <row r="28">
      <c r="A28" s="144" t="s">
        <v>232</v>
      </c>
      <c r="B28" s="145" t="s">
        <v>236</v>
      </c>
      <c r="C28" s="145" t="b">
        <v>0</v>
      </c>
      <c r="D28" s="145"/>
      <c r="E28" s="145"/>
      <c r="F28" s="145"/>
    </row>
    <row r="29">
      <c r="A29" s="144" t="s">
        <v>232</v>
      </c>
      <c r="B29" s="145" t="s">
        <v>237</v>
      </c>
      <c r="C29" s="145" t="b">
        <v>0</v>
      </c>
      <c r="D29" s="145"/>
      <c r="E29" s="145"/>
      <c r="F29" s="145"/>
    </row>
    <row r="30">
      <c r="A30" s="144" t="s">
        <v>232</v>
      </c>
      <c r="B30" s="145" t="s">
        <v>238</v>
      </c>
      <c r="C30" s="145" t="b">
        <v>0</v>
      </c>
      <c r="D30" s="145"/>
      <c r="E30" s="145"/>
      <c r="F30" s="145"/>
    </row>
    <row r="31">
      <c r="A31" s="144" t="s">
        <v>232</v>
      </c>
      <c r="B31" s="145" t="s">
        <v>239</v>
      </c>
      <c r="C31" s="145" t="b">
        <v>0</v>
      </c>
      <c r="D31" s="145"/>
      <c r="E31" s="145"/>
      <c r="F31" s="145"/>
    </row>
    <row r="32">
      <c r="A32" s="144" t="s">
        <v>232</v>
      </c>
      <c r="B32" s="145" t="s">
        <v>240</v>
      </c>
      <c r="C32" s="145" t="b">
        <v>0</v>
      </c>
      <c r="D32" s="145"/>
      <c r="E32" s="145"/>
      <c r="F32" s="145"/>
    </row>
    <row r="33">
      <c r="A33" s="144" t="s">
        <v>232</v>
      </c>
      <c r="B33" s="145" t="s">
        <v>241</v>
      </c>
      <c r="C33" s="145" t="b">
        <v>0</v>
      </c>
      <c r="D33" s="145"/>
      <c r="E33" s="145"/>
      <c r="F33" s="145"/>
    </row>
    <row r="34">
      <c r="A34" s="144" t="s">
        <v>232</v>
      </c>
      <c r="B34" s="145" t="s">
        <v>242</v>
      </c>
      <c r="C34" s="145" t="b">
        <v>0</v>
      </c>
      <c r="D34" s="145"/>
      <c r="E34" s="145"/>
      <c r="F34" s="145"/>
    </row>
    <row r="35">
      <c r="A35" s="144" t="s">
        <v>243</v>
      </c>
      <c r="B35" s="145" t="s">
        <v>244</v>
      </c>
      <c r="C35" s="145" t="b">
        <v>0</v>
      </c>
      <c r="D35" s="145"/>
      <c r="E35" s="145"/>
      <c r="F35" s="145"/>
    </row>
    <row r="36">
      <c r="A36" s="144" t="s">
        <v>243</v>
      </c>
      <c r="B36" s="145" t="s">
        <v>246</v>
      </c>
      <c r="C36" s="145" t="b">
        <v>0</v>
      </c>
      <c r="D36" s="145"/>
      <c r="E36" s="145"/>
      <c r="F36" s="145"/>
    </row>
    <row r="37">
      <c r="A37" s="144" t="s">
        <v>243</v>
      </c>
      <c r="B37" s="145" t="s">
        <v>248</v>
      </c>
      <c r="C37" s="145" t="b">
        <v>0</v>
      </c>
      <c r="D37" s="145"/>
      <c r="E37" s="145"/>
      <c r="F37" s="145"/>
    </row>
    <row r="38">
      <c r="A38" s="144" t="s">
        <v>243</v>
      </c>
      <c r="B38" s="145" t="s">
        <v>250</v>
      </c>
      <c r="C38" s="145" t="b">
        <v>0</v>
      </c>
      <c r="D38" s="145"/>
      <c r="E38" s="145"/>
      <c r="F38" s="145"/>
    </row>
    <row r="39">
      <c r="A39" s="144" t="s">
        <v>243</v>
      </c>
      <c r="B39" s="145" t="s">
        <v>251</v>
      </c>
      <c r="C39" s="145" t="b">
        <v>0</v>
      </c>
      <c r="D39" s="145"/>
      <c r="E39" s="145"/>
      <c r="F39" s="145"/>
    </row>
    <row r="40">
      <c r="A40" s="144" t="s">
        <v>243</v>
      </c>
      <c r="B40" s="145" t="s">
        <v>252</v>
      </c>
      <c r="C40" s="145" t="b">
        <v>0</v>
      </c>
      <c r="D40" s="145"/>
      <c r="E40" s="145"/>
      <c r="F40" s="145"/>
    </row>
    <row r="41">
      <c r="A41" s="144" t="s">
        <v>243</v>
      </c>
      <c r="B41" s="145" t="s">
        <v>253</v>
      </c>
      <c r="C41" s="145" t="b">
        <v>0</v>
      </c>
      <c r="D41" s="145"/>
      <c r="E41" s="145"/>
      <c r="F41" s="145"/>
    </row>
    <row r="42">
      <c r="A42" s="144" t="s">
        <v>243</v>
      </c>
      <c r="B42" s="145" t="s">
        <v>254</v>
      </c>
      <c r="C42" s="145" t="b">
        <v>0</v>
      </c>
      <c r="D42" s="145"/>
      <c r="E42" s="145"/>
      <c r="F42" s="145"/>
    </row>
    <row r="43">
      <c r="A43" s="144" t="s">
        <v>255</v>
      </c>
      <c r="B43" s="145" t="s">
        <v>256</v>
      </c>
      <c r="C43" s="145" t="b">
        <v>0</v>
      </c>
      <c r="D43" s="145"/>
      <c r="E43" s="145"/>
      <c r="F43" s="145"/>
    </row>
    <row r="44">
      <c r="A44" s="144" t="s">
        <v>255</v>
      </c>
      <c r="B44" s="145" t="s">
        <v>257</v>
      </c>
      <c r="C44" s="145" t="b">
        <v>0</v>
      </c>
      <c r="D44" s="145"/>
      <c r="E44" s="145"/>
      <c r="F44" s="145"/>
    </row>
    <row r="45">
      <c r="A45" s="144" t="s">
        <v>255</v>
      </c>
      <c r="B45" s="145" t="s">
        <v>258</v>
      </c>
      <c r="C45" s="145" t="b">
        <v>0</v>
      </c>
      <c r="D45" s="145"/>
      <c r="E45" s="145"/>
      <c r="F45" s="145"/>
    </row>
    <row r="46">
      <c r="A46" s="144" t="s">
        <v>255</v>
      </c>
      <c r="B46" s="145" t="s">
        <v>259</v>
      </c>
      <c r="C46" s="145" t="b">
        <v>0</v>
      </c>
      <c r="D46" s="145"/>
      <c r="E46" s="145"/>
      <c r="F46" s="145"/>
    </row>
    <row r="47">
      <c r="A47" s="144" t="s">
        <v>260</v>
      </c>
      <c r="B47" s="145" t="s">
        <v>261</v>
      </c>
      <c r="C47" s="145" t="b">
        <v>0</v>
      </c>
      <c r="D47" s="145"/>
      <c r="E47" s="145"/>
      <c r="F47" s="145"/>
    </row>
    <row r="48">
      <c r="A48" s="144" t="s">
        <v>260</v>
      </c>
      <c r="B48" s="145" t="s">
        <v>262</v>
      </c>
      <c r="C48" s="145" t="b">
        <v>0</v>
      </c>
      <c r="D48" s="145"/>
      <c r="E48" s="145"/>
      <c r="F48" s="145"/>
    </row>
    <row r="49">
      <c r="A49" s="144" t="s">
        <v>260</v>
      </c>
      <c r="B49" s="145" t="s">
        <v>263</v>
      </c>
      <c r="C49" s="145" t="b">
        <v>0</v>
      </c>
      <c r="D49" s="145"/>
      <c r="E49" s="145"/>
      <c r="F49" s="145"/>
    </row>
    <row r="50">
      <c r="A50" s="144" t="s">
        <v>260</v>
      </c>
      <c r="B50" s="145" t="s">
        <v>264</v>
      </c>
      <c r="C50" s="145" t="b">
        <v>0</v>
      </c>
      <c r="D50" s="145"/>
      <c r="E50" s="145"/>
      <c r="F50" s="145"/>
    </row>
    <row r="51">
      <c r="A51" s="144" t="s">
        <v>260</v>
      </c>
      <c r="B51" s="145" t="s">
        <v>265</v>
      </c>
      <c r="C51" s="145" t="b">
        <v>0</v>
      </c>
      <c r="D51" s="145"/>
      <c r="E51" s="145"/>
      <c r="F51" s="145"/>
    </row>
    <row r="52">
      <c r="A52" s="144" t="s">
        <v>266</v>
      </c>
      <c r="B52" s="145" t="s">
        <v>105</v>
      </c>
      <c r="C52" s="145" t="b">
        <v>0</v>
      </c>
      <c r="D52" s="145"/>
      <c r="E52" s="145"/>
      <c r="F52" s="145"/>
    </row>
    <row r="53">
      <c r="A53" s="144" t="s">
        <v>266</v>
      </c>
      <c r="B53" s="145" t="s">
        <v>105</v>
      </c>
      <c r="C53" s="145" t="b">
        <v>0</v>
      </c>
      <c r="D53" s="145"/>
      <c r="E53" s="145"/>
      <c r="F53" s="145"/>
    </row>
    <row r="54">
      <c r="A54" s="144" t="s">
        <v>266</v>
      </c>
      <c r="B54" s="145" t="s">
        <v>105</v>
      </c>
      <c r="C54" s="145" t="b">
        <v>0</v>
      </c>
      <c r="D54" s="145"/>
      <c r="E54" s="145"/>
      <c r="F54" s="145"/>
    </row>
    <row r="55">
      <c r="A55" s="144" t="s">
        <v>266</v>
      </c>
      <c r="B55" s="145" t="s">
        <v>105</v>
      </c>
      <c r="C55" s="145" t="b">
        <v>0</v>
      </c>
      <c r="D55" s="145"/>
      <c r="E55" s="145"/>
      <c r="F55" s="145"/>
    </row>
    <row r="56">
      <c r="A56" s="144" t="s">
        <v>266</v>
      </c>
      <c r="B56" s="145" t="s">
        <v>105</v>
      </c>
      <c r="C56" s="145" t="b">
        <v>0</v>
      </c>
      <c r="D56" s="145"/>
      <c r="E56" s="145"/>
      <c r="F56" s="145"/>
    </row>
    <row r="57">
      <c r="A57" s="144" t="s">
        <v>266</v>
      </c>
      <c r="B57" s="145" t="s">
        <v>105</v>
      </c>
      <c r="C57" s="145" t="b">
        <v>0</v>
      </c>
      <c r="D57" s="145"/>
      <c r="E57" s="145"/>
      <c r="F57" s="145"/>
    </row>
    <row r="58">
      <c r="A58" s="144" t="s">
        <v>266</v>
      </c>
      <c r="B58" s="145" t="s">
        <v>105</v>
      </c>
      <c r="C58" s="145" t="b">
        <v>0</v>
      </c>
      <c r="D58" s="145"/>
      <c r="E58" s="145"/>
      <c r="F58" s="145"/>
    </row>
    <row r="59">
      <c r="A59" s="144" t="s">
        <v>266</v>
      </c>
      <c r="B59" s="145" t="s">
        <v>105</v>
      </c>
      <c r="C59" s="145" t="b">
        <v>0</v>
      </c>
      <c r="D59" s="145"/>
      <c r="E59" s="145"/>
      <c r="F59" s="145"/>
    </row>
    <row r="60">
      <c r="A60" s="144" t="s">
        <v>266</v>
      </c>
      <c r="B60" s="145" t="s">
        <v>105</v>
      </c>
      <c r="C60" s="145" t="b">
        <v>0</v>
      </c>
      <c r="D60" s="145"/>
      <c r="E60" s="145"/>
      <c r="F60" s="145"/>
    </row>
    <row r="61">
      <c r="A61" s="144" t="s">
        <v>266</v>
      </c>
      <c r="B61" s="145" t="s">
        <v>105</v>
      </c>
      <c r="C61" s="145" t="b">
        <v>0</v>
      </c>
      <c r="D61" s="145"/>
      <c r="E61" s="145"/>
      <c r="F61" s="145"/>
    </row>
    <row r="62">
      <c r="A62" s="144" t="s">
        <v>266</v>
      </c>
      <c r="B62" s="145" t="s">
        <v>105</v>
      </c>
      <c r="C62" s="145" t="b">
        <v>0</v>
      </c>
      <c r="D62" s="145"/>
      <c r="E62" s="145"/>
      <c r="F62" s="145"/>
    </row>
    <row r="63">
      <c r="A63" s="144" t="s">
        <v>266</v>
      </c>
      <c r="B63" s="145" t="s">
        <v>105</v>
      </c>
      <c r="C63" s="145" t="b">
        <v>0</v>
      </c>
      <c r="D63" s="145"/>
      <c r="E63" s="145"/>
      <c r="F63" s="145"/>
    </row>
    <row r="64">
      <c r="A64" s="144" t="s">
        <v>266</v>
      </c>
      <c r="B64" s="145" t="s">
        <v>105</v>
      </c>
      <c r="C64" s="145" t="b">
        <v>0</v>
      </c>
      <c r="D64" s="145"/>
      <c r="E64" s="145"/>
      <c r="F64" s="145"/>
    </row>
    <row r="65">
      <c r="A65" s="144" t="s">
        <v>266</v>
      </c>
      <c r="B65" s="145" t="s">
        <v>105</v>
      </c>
      <c r="C65" s="145" t="b">
        <v>0</v>
      </c>
      <c r="D65" s="145"/>
      <c r="E65" s="145"/>
      <c r="F65" s="145"/>
    </row>
    <row r="66">
      <c r="A66" s="144"/>
      <c r="B66" s="145"/>
      <c r="C66" s="145" t="b">
        <v>0</v>
      </c>
      <c r="D66" s="145"/>
      <c r="E66" s="145"/>
      <c r="F66" s="145"/>
    </row>
    <row r="67">
      <c r="A67" s="144"/>
      <c r="B67" s="145"/>
      <c r="C67" s="145" t="b">
        <v>0</v>
      </c>
      <c r="D67" s="145"/>
      <c r="E67" s="145"/>
      <c r="F67" s="145"/>
    </row>
    <row r="68">
      <c r="A68" s="144"/>
      <c r="B68" s="145"/>
      <c r="C68" s="145" t="b">
        <v>0</v>
      </c>
      <c r="D68" s="145"/>
      <c r="E68" s="145"/>
      <c r="F68" s="145"/>
    </row>
    <row r="69">
      <c r="A69" s="144"/>
      <c r="B69" s="145"/>
      <c r="C69" s="145" t="b">
        <v>0</v>
      </c>
      <c r="D69" s="145"/>
      <c r="E69" s="145"/>
      <c r="F69" s="145"/>
    </row>
    <row r="70">
      <c r="A70" s="144"/>
      <c r="B70" s="145"/>
      <c r="C70" s="145" t="b">
        <v>0</v>
      </c>
      <c r="D70" s="145"/>
      <c r="E70" s="145"/>
      <c r="F70" s="145"/>
    </row>
    <row r="71">
      <c r="A71" s="144"/>
      <c r="B71" s="145"/>
      <c r="C71" s="145" t="b">
        <v>0</v>
      </c>
      <c r="D71" s="145"/>
      <c r="E71" s="145"/>
      <c r="F71" s="145"/>
    </row>
    <row r="72">
      <c r="A72" s="144"/>
      <c r="B72" s="145"/>
      <c r="C72" s="145" t="b">
        <v>0</v>
      </c>
      <c r="D72" s="145"/>
      <c r="E72" s="145"/>
      <c r="F72" s="145"/>
    </row>
    <row r="73">
      <c r="A73" s="144"/>
      <c r="B73" s="145"/>
      <c r="C73" s="145" t="b">
        <v>0</v>
      </c>
      <c r="D73" s="145"/>
      <c r="E73" s="145"/>
      <c r="F73" s="145"/>
    </row>
    <row r="74">
      <c r="A74" s="144"/>
      <c r="B74" s="145"/>
      <c r="C74" s="145" t="b">
        <v>0</v>
      </c>
      <c r="D74" s="145"/>
      <c r="E74" s="145"/>
      <c r="F74" s="145"/>
    </row>
    <row r="75">
      <c r="A75" s="144"/>
      <c r="B75" s="145"/>
      <c r="C75" s="145" t="b">
        <v>0</v>
      </c>
      <c r="D75" s="145"/>
      <c r="E75" s="145"/>
      <c r="F75" s="145"/>
    </row>
    <row r="76">
      <c r="A76" s="144"/>
      <c r="B76" s="145"/>
      <c r="C76" s="145" t="b">
        <v>0</v>
      </c>
      <c r="D76" s="145"/>
      <c r="E76" s="145"/>
      <c r="F76" s="145"/>
    </row>
    <row r="77">
      <c r="A77" s="144"/>
      <c r="B77" s="145"/>
      <c r="C77" s="145" t="b">
        <v>0</v>
      </c>
      <c r="D77" s="145"/>
      <c r="E77" s="145"/>
      <c r="F77" s="145"/>
    </row>
    <row r="78">
      <c r="A78" s="144"/>
      <c r="B78" s="145"/>
      <c r="C78" s="145" t="b">
        <v>0</v>
      </c>
      <c r="D78" s="145"/>
      <c r="E78" s="145"/>
      <c r="F78" s="145"/>
    </row>
    <row r="79">
      <c r="A79" s="144"/>
      <c r="B79" s="145"/>
      <c r="C79" s="145" t="b">
        <v>0</v>
      </c>
      <c r="D79" s="145"/>
      <c r="E79" s="145"/>
      <c r="F79" s="145"/>
    </row>
    <row r="80">
      <c r="A80" s="144"/>
      <c r="B80" s="145"/>
      <c r="C80" s="145" t="b">
        <v>0</v>
      </c>
      <c r="D80" s="145"/>
      <c r="E80" s="145"/>
      <c r="F80" s="145"/>
    </row>
  </sheetData>
  <mergeCells count="6">
    <mergeCell ref="A1:H2"/>
    <mergeCell ref="A3:H3"/>
    <mergeCell ref="A4:H4"/>
    <mergeCell ref="B6:D6"/>
    <mergeCell ref="C7:H7"/>
    <mergeCell ref="A9:H9"/>
  </mergeCells>
  <conditionalFormatting sqref="A11:F80">
    <cfRule type="expression" dxfId="7" priority="1" stopIfTrue="1">
      <formula>$C11=TRUE</formula>
    </cfRule>
  </conditionalFormatting>
  <dataValidations>
    <dataValidation type="list" allowBlank="1" sqref="B6">
      <formula1>'TRAVEL PLANNER'!$A$14:$A$250</formula1>
    </dataValidation>
    <dataValidation type="list" allowBlank="1" sqref="D11:D80">
      <formula1>"Personal Item,Carry-On,Checked,Any"</formula1>
    </dataValidation>
    <dataValidation type="decimal" operator="greaterThanOrEqual" allowBlank="1" sqref="E11:E80">
      <formula1>0.0</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6.38"/>
    <col customWidth="1" min="3" max="3" width="11.38"/>
    <col customWidth="1" min="4" max="4" width="22.0"/>
    <col customWidth="1" min="5" max="6" width="11.38"/>
    <col customWidth="1" min="7" max="9" width="10.38"/>
    <col customWidth="1" min="10" max="10" width="23.88"/>
    <col customWidth="1" min="11" max="12" width="14.5"/>
  </cols>
  <sheetData>
    <row r="1">
      <c r="A1" s="69" t="s">
        <v>276</v>
      </c>
    </row>
    <row r="3">
      <c r="A3" s="9" t="s">
        <v>277</v>
      </c>
    </row>
    <row r="4">
      <c r="A4" s="9" t="s">
        <v>278</v>
      </c>
    </row>
    <row r="6">
      <c r="A6" s="14" t="s">
        <v>279</v>
      </c>
      <c r="C6" s="14" t="s">
        <v>280</v>
      </c>
      <c r="E6" s="14" t="s">
        <v>281</v>
      </c>
      <c r="G6" s="14" t="s">
        <v>282</v>
      </c>
      <c r="I6" s="14" t="s">
        <v>283</v>
      </c>
      <c r="K6" s="14" t="s">
        <v>284</v>
      </c>
    </row>
    <row r="7">
      <c r="A7" s="22">
        <f>COUNTIFS($C$13:$C$30,"&gt;="&amp;TODAY(),$C$13:$C$30,"&lt;="&amp;TODAY()+30,$I$13:$I$30,FALSE)</f>
        <v>0</v>
      </c>
      <c r="B7" s="23"/>
      <c r="C7" s="33">
        <f>SUM($E$13:$E$30)</f>
        <v>0</v>
      </c>
      <c r="D7" s="23"/>
      <c r="E7" s="33">
        <f>SUM($F$13:$F$30)</f>
        <v>0</v>
      </c>
      <c r="F7" s="23"/>
      <c r="G7" s="22">
        <f>COUNTIFS($D$13:$D$30,"&lt;&gt;",$G$13:$G$30,FALSE)</f>
        <v>0</v>
      </c>
      <c r="H7" s="23"/>
      <c r="I7" s="22">
        <f>COUNTA($A$36:$A$60)</f>
        <v>0</v>
      </c>
      <c r="J7" s="23"/>
      <c r="K7" s="33">
        <f>SUM($E$36:$E$60)</f>
        <v>0</v>
      </c>
      <c r="L7" s="23"/>
    </row>
    <row r="9">
      <c r="A9" s="79" t="s">
        <v>285</v>
      </c>
    </row>
    <row r="10">
      <c r="A10" s="152" t="s">
        <v>286</v>
      </c>
    </row>
    <row r="12">
      <c r="A12" s="143" t="s">
        <v>287</v>
      </c>
      <c r="B12" s="143" t="s">
        <v>288</v>
      </c>
      <c r="C12" s="143" t="s">
        <v>62</v>
      </c>
      <c r="D12" s="143" t="s">
        <v>289</v>
      </c>
      <c r="E12" s="143" t="s">
        <v>290</v>
      </c>
      <c r="F12" s="143" t="s">
        <v>291</v>
      </c>
      <c r="G12" s="143" t="s">
        <v>292</v>
      </c>
      <c r="H12" s="143" t="s">
        <v>293</v>
      </c>
      <c r="I12" s="143" t="s">
        <v>294</v>
      </c>
      <c r="J12" s="143" t="s">
        <v>295</v>
      </c>
      <c r="K12" s="143" t="s">
        <v>227</v>
      </c>
      <c r="L12" s="143" t="s">
        <v>71</v>
      </c>
    </row>
    <row r="13">
      <c r="A13" s="153"/>
      <c r="B13" s="153"/>
      <c r="C13" s="154"/>
      <c r="D13" s="153"/>
      <c r="E13" s="155"/>
      <c r="F13" s="155"/>
      <c r="G13" s="153" t="b">
        <v>0</v>
      </c>
      <c r="H13" s="153" t="b">
        <v>0</v>
      </c>
      <c r="I13" s="153" t="b">
        <v>0</v>
      </c>
      <c r="J13" s="153"/>
      <c r="K13" s="153"/>
      <c r="L13" s="153"/>
    </row>
    <row r="14">
      <c r="A14" s="153"/>
      <c r="B14" s="153"/>
      <c r="C14" s="154"/>
      <c r="D14" s="153"/>
      <c r="E14" s="155"/>
      <c r="F14" s="155"/>
      <c r="G14" s="153" t="b">
        <v>0</v>
      </c>
      <c r="H14" s="153" t="b">
        <v>0</v>
      </c>
      <c r="I14" s="153" t="b">
        <v>0</v>
      </c>
      <c r="J14" s="153"/>
      <c r="K14" s="153"/>
      <c r="L14" s="153"/>
    </row>
    <row r="15">
      <c r="A15" s="153"/>
      <c r="B15" s="153"/>
      <c r="C15" s="154"/>
      <c r="D15" s="153"/>
      <c r="E15" s="155"/>
      <c r="F15" s="155"/>
      <c r="G15" s="153" t="b">
        <v>0</v>
      </c>
      <c r="H15" s="153" t="b">
        <v>0</v>
      </c>
      <c r="I15" s="153" t="b">
        <v>0</v>
      </c>
      <c r="J15" s="153"/>
      <c r="K15" s="153"/>
      <c r="L15" s="153"/>
    </row>
    <row r="16">
      <c r="A16" s="153"/>
      <c r="B16" s="153"/>
      <c r="C16" s="154"/>
      <c r="D16" s="153"/>
      <c r="E16" s="155"/>
      <c r="F16" s="155"/>
      <c r="G16" s="153" t="b">
        <v>0</v>
      </c>
      <c r="H16" s="153" t="b">
        <v>0</v>
      </c>
      <c r="I16" s="153" t="b">
        <v>0</v>
      </c>
      <c r="J16" s="153"/>
      <c r="K16" s="153"/>
      <c r="L16" s="153"/>
    </row>
    <row r="17">
      <c r="A17" s="153"/>
      <c r="B17" s="153"/>
      <c r="C17" s="154"/>
      <c r="D17" s="153"/>
      <c r="E17" s="155"/>
      <c r="F17" s="155"/>
      <c r="G17" s="153" t="b">
        <v>0</v>
      </c>
      <c r="H17" s="153" t="b">
        <v>0</v>
      </c>
      <c r="I17" s="153" t="b">
        <v>0</v>
      </c>
      <c r="J17" s="153"/>
      <c r="K17" s="153"/>
      <c r="L17" s="153"/>
    </row>
    <row r="18">
      <c r="A18" s="153"/>
      <c r="B18" s="153"/>
      <c r="C18" s="154"/>
      <c r="D18" s="153"/>
      <c r="E18" s="155"/>
      <c r="F18" s="155"/>
      <c r="G18" s="153" t="b">
        <v>0</v>
      </c>
      <c r="H18" s="153" t="b">
        <v>0</v>
      </c>
      <c r="I18" s="153" t="b">
        <v>0</v>
      </c>
      <c r="J18" s="153"/>
      <c r="K18" s="153"/>
      <c r="L18" s="153"/>
    </row>
    <row r="19">
      <c r="A19" s="153"/>
      <c r="B19" s="153"/>
      <c r="C19" s="154"/>
      <c r="D19" s="153"/>
      <c r="E19" s="155"/>
      <c r="F19" s="155"/>
      <c r="G19" s="153" t="b">
        <v>0</v>
      </c>
      <c r="H19" s="153" t="b">
        <v>0</v>
      </c>
      <c r="I19" s="153" t="b">
        <v>0</v>
      </c>
      <c r="J19" s="153"/>
      <c r="K19" s="153"/>
      <c r="L19" s="153"/>
    </row>
    <row r="20">
      <c r="A20" s="153"/>
      <c r="B20" s="153"/>
      <c r="C20" s="154"/>
      <c r="D20" s="153"/>
      <c r="E20" s="155"/>
      <c r="F20" s="155"/>
      <c r="G20" s="153" t="b">
        <v>0</v>
      </c>
      <c r="H20" s="153" t="b">
        <v>0</v>
      </c>
      <c r="I20" s="153" t="b">
        <v>0</v>
      </c>
      <c r="J20" s="153"/>
      <c r="K20" s="153"/>
      <c r="L20" s="153"/>
    </row>
    <row r="21">
      <c r="A21" s="153"/>
      <c r="B21" s="153"/>
      <c r="C21" s="154"/>
      <c r="D21" s="153"/>
      <c r="E21" s="155"/>
      <c r="F21" s="155"/>
      <c r="G21" s="153" t="b">
        <v>0</v>
      </c>
      <c r="H21" s="153" t="b">
        <v>0</v>
      </c>
      <c r="I21" s="153" t="b">
        <v>0</v>
      </c>
      <c r="J21" s="153"/>
      <c r="K21" s="153"/>
      <c r="L21" s="153"/>
    </row>
    <row r="22">
      <c r="A22" s="153"/>
      <c r="B22" s="153"/>
      <c r="C22" s="154"/>
      <c r="D22" s="153"/>
      <c r="E22" s="155"/>
      <c r="F22" s="155"/>
      <c r="G22" s="153" t="b">
        <v>0</v>
      </c>
      <c r="H22" s="153" t="b">
        <v>0</v>
      </c>
      <c r="I22" s="153" t="b">
        <v>0</v>
      </c>
      <c r="J22" s="153"/>
      <c r="K22" s="153"/>
      <c r="L22" s="153"/>
    </row>
    <row r="23">
      <c r="A23" s="153"/>
      <c r="B23" s="153"/>
      <c r="C23" s="154"/>
      <c r="D23" s="153"/>
      <c r="E23" s="155"/>
      <c r="F23" s="155"/>
      <c r="G23" s="153" t="b">
        <v>0</v>
      </c>
      <c r="H23" s="153" t="b">
        <v>0</v>
      </c>
      <c r="I23" s="153" t="b">
        <v>0</v>
      </c>
      <c r="J23" s="153"/>
      <c r="K23" s="153"/>
      <c r="L23" s="153"/>
    </row>
    <row r="24">
      <c r="A24" s="153"/>
      <c r="B24" s="153"/>
      <c r="C24" s="154"/>
      <c r="D24" s="153"/>
      <c r="E24" s="155"/>
      <c r="F24" s="155"/>
      <c r="G24" s="153" t="b">
        <v>0</v>
      </c>
      <c r="H24" s="153" t="b">
        <v>0</v>
      </c>
      <c r="I24" s="153" t="b">
        <v>0</v>
      </c>
      <c r="J24" s="153"/>
      <c r="K24" s="153"/>
      <c r="L24" s="153"/>
    </row>
    <row r="25">
      <c r="A25" s="153"/>
      <c r="B25" s="153"/>
      <c r="C25" s="154"/>
      <c r="D25" s="153"/>
      <c r="E25" s="155"/>
      <c r="F25" s="155"/>
      <c r="G25" s="153" t="b">
        <v>0</v>
      </c>
      <c r="H25" s="153" t="b">
        <v>0</v>
      </c>
      <c r="I25" s="153" t="b">
        <v>0</v>
      </c>
      <c r="J25" s="153"/>
      <c r="K25" s="153"/>
      <c r="L25" s="153"/>
    </row>
    <row r="26">
      <c r="A26" s="153"/>
      <c r="B26" s="153"/>
      <c r="C26" s="154"/>
      <c r="D26" s="153"/>
      <c r="E26" s="155"/>
      <c r="F26" s="155"/>
      <c r="G26" s="153" t="b">
        <v>0</v>
      </c>
      <c r="H26" s="153" t="b">
        <v>0</v>
      </c>
      <c r="I26" s="153" t="b">
        <v>0</v>
      </c>
      <c r="J26" s="153"/>
      <c r="K26" s="153"/>
      <c r="L26" s="153"/>
    </row>
    <row r="27">
      <c r="A27" s="153"/>
      <c r="B27" s="153"/>
      <c r="C27" s="154"/>
      <c r="D27" s="153"/>
      <c r="E27" s="155"/>
      <c r="F27" s="155"/>
      <c r="G27" s="153" t="b">
        <v>0</v>
      </c>
      <c r="H27" s="153" t="b">
        <v>0</v>
      </c>
      <c r="I27" s="153" t="b">
        <v>0</v>
      </c>
      <c r="J27" s="153"/>
      <c r="K27" s="153"/>
      <c r="L27" s="153"/>
    </row>
    <row r="28">
      <c r="A28" s="153"/>
      <c r="B28" s="153"/>
      <c r="C28" s="154"/>
      <c r="D28" s="153"/>
      <c r="E28" s="155"/>
      <c r="F28" s="155"/>
      <c r="G28" s="153" t="b">
        <v>0</v>
      </c>
      <c r="H28" s="153" t="b">
        <v>0</v>
      </c>
      <c r="I28" s="153" t="b">
        <v>0</v>
      </c>
      <c r="J28" s="153"/>
      <c r="K28" s="153"/>
      <c r="L28" s="153"/>
    </row>
    <row r="29">
      <c r="A29" s="153"/>
      <c r="B29" s="153"/>
      <c r="C29" s="154"/>
      <c r="D29" s="153"/>
      <c r="E29" s="155"/>
      <c r="F29" s="155"/>
      <c r="G29" s="153" t="b">
        <v>0</v>
      </c>
      <c r="H29" s="153" t="b">
        <v>0</v>
      </c>
      <c r="I29" s="153" t="b">
        <v>0</v>
      </c>
      <c r="J29" s="153"/>
      <c r="K29" s="153"/>
      <c r="L29" s="153"/>
    </row>
    <row r="30">
      <c r="A30" s="153"/>
      <c r="B30" s="153"/>
      <c r="C30" s="154"/>
      <c r="D30" s="153"/>
      <c r="E30" s="155"/>
      <c r="F30" s="155"/>
      <c r="G30" s="153" t="b">
        <v>0</v>
      </c>
      <c r="H30" s="153" t="b">
        <v>0</v>
      </c>
      <c r="I30" s="153" t="b">
        <v>0</v>
      </c>
      <c r="J30" s="153"/>
      <c r="K30" s="153"/>
      <c r="L30" s="153"/>
    </row>
    <row r="32">
      <c r="A32" s="79" t="s">
        <v>296</v>
      </c>
    </row>
    <row r="33">
      <c r="A33" s="152" t="s">
        <v>297</v>
      </c>
    </row>
    <row r="35">
      <c r="A35" s="143" t="s">
        <v>207</v>
      </c>
      <c r="B35" s="143" t="s">
        <v>298</v>
      </c>
      <c r="C35" s="143" t="s">
        <v>206</v>
      </c>
      <c r="D35" s="143" t="s">
        <v>227</v>
      </c>
      <c r="E35" s="143" t="s">
        <v>299</v>
      </c>
      <c r="F35" s="143" t="s">
        <v>295</v>
      </c>
      <c r="G35" s="143" t="s">
        <v>300</v>
      </c>
      <c r="H35" s="143" t="s">
        <v>301</v>
      </c>
      <c r="I35" s="143" t="s">
        <v>302</v>
      </c>
      <c r="J35" s="143" t="s">
        <v>31</v>
      </c>
      <c r="K35" s="143" t="s">
        <v>303</v>
      </c>
      <c r="L35" s="143" t="s">
        <v>71</v>
      </c>
    </row>
    <row r="36">
      <c r="A36" s="153"/>
      <c r="B36" s="153"/>
      <c r="C36" s="153"/>
      <c r="D36" s="153"/>
      <c r="E36" s="155"/>
      <c r="F36" s="153"/>
      <c r="G36" s="153" t="b">
        <v>0</v>
      </c>
      <c r="H36" s="153" t="b">
        <v>0</v>
      </c>
      <c r="I36" s="154"/>
      <c r="J36" s="153" t="b">
        <v>0</v>
      </c>
      <c r="K36" s="154"/>
      <c r="L36" s="153"/>
    </row>
    <row r="37">
      <c r="A37" s="153"/>
      <c r="B37" s="153"/>
      <c r="C37" s="153"/>
      <c r="D37" s="153"/>
      <c r="E37" s="155"/>
      <c r="F37" s="153"/>
      <c r="G37" s="153" t="b">
        <v>0</v>
      </c>
      <c r="H37" s="153" t="b">
        <v>0</v>
      </c>
      <c r="I37" s="154"/>
      <c r="J37" s="153" t="b">
        <v>0</v>
      </c>
      <c r="K37" s="154"/>
      <c r="L37" s="153"/>
    </row>
    <row r="38">
      <c r="A38" s="153"/>
      <c r="B38" s="153"/>
      <c r="C38" s="153"/>
      <c r="D38" s="153"/>
      <c r="E38" s="155"/>
      <c r="F38" s="153"/>
      <c r="G38" s="153" t="b">
        <v>0</v>
      </c>
      <c r="H38" s="153" t="b">
        <v>0</v>
      </c>
      <c r="I38" s="154"/>
      <c r="J38" s="153" t="b">
        <v>0</v>
      </c>
      <c r="K38" s="154"/>
      <c r="L38" s="153"/>
    </row>
    <row r="39">
      <c r="A39" s="153"/>
      <c r="B39" s="153"/>
      <c r="C39" s="153"/>
      <c r="D39" s="153"/>
      <c r="E39" s="155"/>
      <c r="F39" s="153"/>
      <c r="G39" s="153" t="b">
        <v>0</v>
      </c>
      <c r="H39" s="153" t="b">
        <v>0</v>
      </c>
      <c r="I39" s="154"/>
      <c r="J39" s="153" t="b">
        <v>0</v>
      </c>
      <c r="K39" s="154"/>
      <c r="L39" s="153"/>
    </row>
    <row r="40">
      <c r="A40" s="153"/>
      <c r="B40" s="153"/>
      <c r="C40" s="153"/>
      <c r="D40" s="153"/>
      <c r="E40" s="155"/>
      <c r="F40" s="153"/>
      <c r="G40" s="153" t="b">
        <v>0</v>
      </c>
      <c r="H40" s="153" t="b">
        <v>0</v>
      </c>
      <c r="I40" s="154"/>
      <c r="J40" s="153" t="b">
        <v>0</v>
      </c>
      <c r="K40" s="154"/>
      <c r="L40" s="153"/>
    </row>
    <row r="41">
      <c r="A41" s="153"/>
      <c r="B41" s="153"/>
      <c r="C41" s="153"/>
      <c r="D41" s="153"/>
      <c r="E41" s="155"/>
      <c r="F41" s="153"/>
      <c r="G41" s="153" t="b">
        <v>0</v>
      </c>
      <c r="H41" s="153" t="b">
        <v>0</v>
      </c>
      <c r="I41" s="154"/>
      <c r="J41" s="153" t="b">
        <v>0</v>
      </c>
      <c r="K41" s="154"/>
      <c r="L41" s="153"/>
    </row>
    <row r="42">
      <c r="A42" s="153"/>
      <c r="B42" s="153"/>
      <c r="C42" s="153"/>
      <c r="D42" s="153"/>
      <c r="E42" s="155"/>
      <c r="F42" s="153"/>
      <c r="G42" s="153" t="b">
        <v>0</v>
      </c>
      <c r="H42" s="153" t="b">
        <v>0</v>
      </c>
      <c r="I42" s="154"/>
      <c r="J42" s="153" t="b">
        <v>0</v>
      </c>
      <c r="K42" s="154"/>
      <c r="L42" s="153"/>
    </row>
    <row r="43">
      <c r="A43" s="153"/>
      <c r="B43" s="153"/>
      <c r="C43" s="153"/>
      <c r="D43" s="153"/>
      <c r="E43" s="155"/>
      <c r="F43" s="153"/>
      <c r="G43" s="153" t="b">
        <v>0</v>
      </c>
      <c r="H43" s="153" t="b">
        <v>0</v>
      </c>
      <c r="I43" s="154"/>
      <c r="J43" s="153" t="b">
        <v>0</v>
      </c>
      <c r="K43" s="154"/>
      <c r="L43" s="153"/>
    </row>
    <row r="44">
      <c r="A44" s="153"/>
      <c r="B44" s="153"/>
      <c r="C44" s="153"/>
      <c r="D44" s="153"/>
      <c r="E44" s="155"/>
      <c r="F44" s="153"/>
      <c r="G44" s="153" t="b">
        <v>0</v>
      </c>
      <c r="H44" s="153" t="b">
        <v>0</v>
      </c>
      <c r="I44" s="154"/>
      <c r="J44" s="153" t="b">
        <v>0</v>
      </c>
      <c r="K44" s="154"/>
      <c r="L44" s="153"/>
    </row>
    <row r="45">
      <c r="A45" s="153"/>
      <c r="B45" s="153"/>
      <c r="C45" s="153"/>
      <c r="D45" s="153"/>
      <c r="E45" s="155"/>
      <c r="F45" s="153"/>
      <c r="G45" s="153" t="b">
        <v>0</v>
      </c>
      <c r="H45" s="153" t="b">
        <v>0</v>
      </c>
      <c r="I45" s="154"/>
      <c r="J45" s="153" t="b">
        <v>0</v>
      </c>
      <c r="K45" s="154"/>
      <c r="L45" s="153"/>
    </row>
    <row r="46">
      <c r="A46" s="153"/>
      <c r="B46" s="153"/>
      <c r="C46" s="153"/>
      <c r="D46" s="153"/>
      <c r="E46" s="155"/>
      <c r="F46" s="153"/>
      <c r="G46" s="153" t="b">
        <v>0</v>
      </c>
      <c r="H46" s="153" t="b">
        <v>0</v>
      </c>
      <c r="I46" s="154"/>
      <c r="J46" s="153" t="b">
        <v>0</v>
      </c>
      <c r="K46" s="154"/>
      <c r="L46" s="153"/>
    </row>
    <row r="47">
      <c r="A47" s="153"/>
      <c r="B47" s="153"/>
      <c r="C47" s="153"/>
      <c r="D47" s="153"/>
      <c r="E47" s="155"/>
      <c r="F47" s="153"/>
      <c r="G47" s="153" t="b">
        <v>0</v>
      </c>
      <c r="H47" s="153" t="b">
        <v>0</v>
      </c>
      <c r="I47" s="154"/>
      <c r="J47" s="153" t="b">
        <v>0</v>
      </c>
      <c r="K47" s="154"/>
      <c r="L47" s="153"/>
    </row>
    <row r="48">
      <c r="A48" s="153"/>
      <c r="B48" s="153"/>
      <c r="C48" s="153"/>
      <c r="D48" s="153"/>
      <c r="E48" s="155"/>
      <c r="F48" s="153"/>
      <c r="G48" s="153" t="b">
        <v>0</v>
      </c>
      <c r="H48" s="153" t="b">
        <v>0</v>
      </c>
      <c r="I48" s="154"/>
      <c r="J48" s="153" t="b">
        <v>0</v>
      </c>
      <c r="K48" s="154"/>
      <c r="L48" s="153"/>
    </row>
    <row r="49">
      <c r="A49" s="153"/>
      <c r="B49" s="153"/>
      <c r="C49" s="153"/>
      <c r="D49" s="153"/>
      <c r="E49" s="155"/>
      <c r="F49" s="153"/>
      <c r="G49" s="153" t="b">
        <v>0</v>
      </c>
      <c r="H49" s="153" t="b">
        <v>0</v>
      </c>
      <c r="I49" s="154"/>
      <c r="J49" s="153" t="b">
        <v>0</v>
      </c>
      <c r="K49" s="154"/>
      <c r="L49" s="153"/>
    </row>
    <row r="50">
      <c r="A50" s="153"/>
      <c r="B50" s="153"/>
      <c r="C50" s="153"/>
      <c r="D50" s="153"/>
      <c r="E50" s="155"/>
      <c r="F50" s="153"/>
      <c r="G50" s="153" t="b">
        <v>0</v>
      </c>
      <c r="H50" s="153" t="b">
        <v>0</v>
      </c>
      <c r="I50" s="154"/>
      <c r="J50" s="153" t="b">
        <v>0</v>
      </c>
      <c r="K50" s="154"/>
      <c r="L50" s="153"/>
    </row>
    <row r="51">
      <c r="A51" s="153"/>
      <c r="B51" s="153"/>
      <c r="C51" s="153"/>
      <c r="D51" s="153"/>
      <c r="E51" s="155"/>
      <c r="F51" s="153"/>
      <c r="G51" s="153" t="b">
        <v>0</v>
      </c>
      <c r="H51" s="153" t="b">
        <v>0</v>
      </c>
      <c r="I51" s="154"/>
      <c r="J51" s="153" t="b">
        <v>0</v>
      </c>
      <c r="K51" s="154"/>
      <c r="L51" s="153"/>
    </row>
    <row r="52">
      <c r="A52" s="153"/>
      <c r="B52" s="153"/>
      <c r="C52" s="153"/>
      <c r="D52" s="153"/>
      <c r="E52" s="155"/>
      <c r="F52" s="153"/>
      <c r="G52" s="153" t="b">
        <v>0</v>
      </c>
      <c r="H52" s="153" t="b">
        <v>0</v>
      </c>
      <c r="I52" s="154"/>
      <c r="J52" s="153" t="b">
        <v>0</v>
      </c>
      <c r="K52" s="154"/>
      <c r="L52" s="153"/>
    </row>
    <row r="53">
      <c r="A53" s="153"/>
      <c r="B53" s="153"/>
      <c r="C53" s="153"/>
      <c r="D53" s="153"/>
      <c r="E53" s="155"/>
      <c r="F53" s="153"/>
      <c r="G53" s="153" t="b">
        <v>0</v>
      </c>
      <c r="H53" s="153" t="b">
        <v>0</v>
      </c>
      <c r="I53" s="154"/>
      <c r="J53" s="153" t="b">
        <v>0</v>
      </c>
      <c r="K53" s="154"/>
      <c r="L53" s="153"/>
    </row>
    <row r="54">
      <c r="A54" s="153"/>
      <c r="B54" s="153"/>
      <c r="C54" s="153"/>
      <c r="D54" s="153"/>
      <c r="E54" s="155"/>
      <c r="F54" s="153"/>
      <c r="G54" s="153" t="b">
        <v>0</v>
      </c>
      <c r="H54" s="153" t="b">
        <v>0</v>
      </c>
      <c r="I54" s="154"/>
      <c r="J54" s="153" t="b">
        <v>0</v>
      </c>
      <c r="K54" s="154"/>
      <c r="L54" s="153"/>
    </row>
    <row r="55">
      <c r="A55" s="153"/>
      <c r="B55" s="153"/>
      <c r="C55" s="153"/>
      <c r="D55" s="153"/>
      <c r="E55" s="155"/>
      <c r="F55" s="153"/>
      <c r="G55" s="153" t="b">
        <v>0</v>
      </c>
      <c r="H55" s="153" t="b">
        <v>0</v>
      </c>
      <c r="I55" s="154"/>
      <c r="J55" s="153" t="b">
        <v>0</v>
      </c>
      <c r="K55" s="154"/>
      <c r="L55" s="153"/>
    </row>
    <row r="56">
      <c r="A56" s="153"/>
      <c r="B56" s="153"/>
      <c r="C56" s="153"/>
      <c r="D56" s="153"/>
      <c r="E56" s="155"/>
      <c r="F56" s="153"/>
      <c r="G56" s="153" t="b">
        <v>0</v>
      </c>
      <c r="H56" s="153" t="b">
        <v>0</v>
      </c>
      <c r="I56" s="154"/>
      <c r="J56" s="153" t="b">
        <v>0</v>
      </c>
      <c r="K56" s="154"/>
      <c r="L56" s="153"/>
    </row>
    <row r="57">
      <c r="A57" s="153"/>
      <c r="B57" s="153"/>
      <c r="C57" s="153"/>
      <c r="D57" s="153"/>
      <c r="E57" s="155"/>
      <c r="F57" s="153"/>
      <c r="G57" s="153" t="b">
        <v>0</v>
      </c>
      <c r="H57" s="153" t="b">
        <v>0</v>
      </c>
      <c r="I57" s="154"/>
      <c r="J57" s="153" t="b">
        <v>0</v>
      </c>
      <c r="K57" s="154"/>
      <c r="L57" s="153"/>
    </row>
    <row r="58">
      <c r="A58" s="153"/>
      <c r="B58" s="153"/>
      <c r="C58" s="153"/>
      <c r="D58" s="153"/>
      <c r="E58" s="155"/>
      <c r="F58" s="153"/>
      <c r="G58" s="153" t="b">
        <v>0</v>
      </c>
      <c r="H58" s="153" t="b">
        <v>0</v>
      </c>
      <c r="I58" s="154"/>
      <c r="J58" s="153" t="b">
        <v>0</v>
      </c>
      <c r="K58" s="154"/>
      <c r="L58" s="153"/>
    </row>
    <row r="59">
      <c r="A59" s="153"/>
      <c r="B59" s="153"/>
      <c r="C59" s="153"/>
      <c r="D59" s="153"/>
      <c r="E59" s="155"/>
      <c r="F59" s="153"/>
      <c r="G59" s="153" t="b">
        <v>0</v>
      </c>
      <c r="H59" s="153" t="b">
        <v>0</v>
      </c>
      <c r="I59" s="154"/>
      <c r="J59" s="153" t="b">
        <v>0</v>
      </c>
      <c r="K59" s="154"/>
      <c r="L59" s="153"/>
    </row>
    <row r="60">
      <c r="A60" s="153"/>
      <c r="B60" s="153"/>
      <c r="C60" s="153"/>
      <c r="D60" s="153"/>
      <c r="E60" s="155"/>
      <c r="F60" s="153"/>
      <c r="G60" s="153" t="b">
        <v>0</v>
      </c>
      <c r="H60" s="153" t="b">
        <v>0</v>
      </c>
      <c r="I60" s="154"/>
      <c r="J60" s="153" t="b">
        <v>0</v>
      </c>
      <c r="K60" s="154"/>
      <c r="L60" s="153"/>
    </row>
  </sheetData>
  <mergeCells count="19">
    <mergeCell ref="I6:J6"/>
    <mergeCell ref="K6:L6"/>
    <mergeCell ref="A1:L2"/>
    <mergeCell ref="A3:L3"/>
    <mergeCell ref="A4:L4"/>
    <mergeCell ref="A6:B6"/>
    <mergeCell ref="C6:D6"/>
    <mergeCell ref="E6:F6"/>
    <mergeCell ref="G6:H6"/>
    <mergeCell ref="A10:L10"/>
    <mergeCell ref="A32:L32"/>
    <mergeCell ref="A33:L33"/>
    <mergeCell ref="A7:B7"/>
    <mergeCell ref="C7:D7"/>
    <mergeCell ref="E7:F7"/>
    <mergeCell ref="G7:H7"/>
    <mergeCell ref="I7:J7"/>
    <mergeCell ref="K7:L7"/>
    <mergeCell ref="A9:L9"/>
  </mergeCells>
  <conditionalFormatting sqref="A13:L30">
    <cfRule type="expression" dxfId="7" priority="1" stopIfTrue="1">
      <formula>$I13=TRUE</formula>
    </cfRule>
  </conditionalFormatting>
  <conditionalFormatting sqref="A13:L30">
    <cfRule type="expression" dxfId="2" priority="2" stopIfTrue="1">
      <formula>AND($C13&lt;&gt;"",$C13&gt;=TODAY(),$C13&lt;=TODAY()+14,$G13=FALSE)</formula>
    </cfRule>
  </conditionalFormatting>
  <conditionalFormatting sqref="A36:L60">
    <cfRule type="expression" dxfId="7" priority="3" stopIfTrue="1">
      <formula>OR($G36=TRUE,$H36=TRUE)</formula>
    </cfRule>
  </conditionalFormatting>
  <dataValidations>
    <dataValidation type="list" allowBlank="1" sqref="B13:B30">
      <formula1>"Birthday,Holiday,Anniversary,Wedding,Baby,Thank You,Just Because,Other"</formula1>
    </dataValidation>
    <dataValidation type="list" allowBlank="1" sqref="K13:K30 D36:D60">
      <formula1>"High,Medium,Low"</formula1>
    </dataValidation>
    <dataValidation type="list" allowBlank="1" sqref="C36:C60">
      <formula1>"Fashion,Beauty,Books,Home,Tech,Travel,Hobby,Experience,Other"</formula1>
    </dataValidation>
  </dataValidations>
  <drawing r:id="rId1"/>
  <tableParts count="2">
    <tablePart r:id="rId4"/>
    <tablePart r:id="rId5"/>
  </tableParts>
</worksheet>
</file>